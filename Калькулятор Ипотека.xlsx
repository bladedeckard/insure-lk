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3.xml.rels" ContentType="application/vnd.openxmlformats-package.relationships+xml"/>
  <Override PartName="/xl/worksheets/_rels/sheet5.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Калькулятор" sheetId="1" state="visible" r:id="rId2"/>
    <sheet name="КИС" sheetId="2" state="visible" r:id="rId3"/>
    <sheet name="Справочно" sheetId="3" state="visible" r:id="rId4"/>
    <sheet name="Новый проект" sheetId="4" state="visible" r:id="rId5"/>
    <sheet name="Матрица КВ" sheetId="5" state="visible" r:id="rId6"/>
    <sheet name="Ставки со сравни" sheetId="6" state="visible" r:id="rId7"/>
    <sheet name="РНПК" sheetId="7" state="visible" r:id="rId8"/>
    <sheet name="триггеры" sheetId="8" state="visible" r:id="rId9"/>
    <sheet name="Сроки" sheetId="9" state="visible" r:id="rId10"/>
  </sheets>
  <definedNames>
    <definedName function="false" hidden="true" localSheetId="4" name="_xlnm._FilterDatabase" vbProcedure="false">'Матрица КВ'!$A$3:$F$104</definedName>
    <definedName function="false" hidden="true" localSheetId="2" name="_xlnm._FilterDatabase" vbProcedure="false">Справочно!$A$1:$C$102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<sst xmlns="http://schemas.openxmlformats.org/spreadsheetml/2006/main" count="686" uniqueCount="383">
  <si>
    <t xml:space="preserve">Адрес имущества: </t>
  </si>
  <si>
    <t xml:space="preserve">г Москва, Волоколамское шоссе, д 71 к 4, кв 12</t>
  </si>
  <si>
    <t xml:space="preserve">Калькулятор для страхования физического лица</t>
  </si>
  <si>
    <t xml:space="preserve">Выберите условия расчета</t>
  </si>
  <si>
    <t xml:space="preserve">Дата рождения</t>
  </si>
  <si>
    <t xml:space="preserve">&lt;=</t>
  </si>
  <si>
    <t xml:space="preserve">Выбор возраста</t>
  </si>
  <si>
    <t xml:space="preserve">Возраст</t>
  </si>
  <si>
    <t xml:space="preserve">Выберите пол</t>
  </si>
  <si>
    <t xml:space="preserve">Женщина</t>
  </si>
  <si>
    <t xml:space="preserve">Выбор пола</t>
  </si>
  <si>
    <t xml:space="preserve">Занимается ли застрахованный спортом?</t>
  </si>
  <si>
    <t xml:space="preserve">Нет</t>
  </si>
  <si>
    <t xml:space="preserve">Род деятельности</t>
  </si>
  <si>
    <t xml:space="preserve">Нерисковая</t>
  </si>
  <si>
    <t xml:space="preserve">Конструктив покрыт?</t>
  </si>
  <si>
    <t xml:space="preserve">Тип перекрытий</t>
  </si>
  <si>
    <t xml:space="preserve">Каменный</t>
  </si>
  <si>
    <t xml:space="preserve">Без данных указывается «каменный»</t>
  </si>
  <si>
    <t xml:space="preserve">Тип помещения</t>
  </si>
  <si>
    <t xml:space="preserve">Квартира</t>
  </si>
  <si>
    <t xml:space="preserve">Год объекта</t>
  </si>
  <si>
    <t xml:space="preserve">Год примерный нужно хотя бы</t>
  </si>
  <si>
    <t xml:space="preserve">Возраст объекта</t>
  </si>
  <si>
    <t xml:space="preserve">Терроризм (имущество)</t>
  </si>
  <si>
    <t xml:space="preserve">Банк</t>
  </si>
  <si>
    <t xml:space="preserve">Сбербанк</t>
  </si>
  <si>
    <t xml:space="preserve">Считаем Сбер, Тбанк, Юникредит, Райф — остальное не страхуем.</t>
  </si>
  <si>
    <t xml:space="preserve">РВД </t>
  </si>
  <si>
    <t xml:space="preserve">Прибыль и прочее</t>
  </si>
  <si>
    <t xml:space="preserve">Банк КВ</t>
  </si>
  <si>
    <t xml:space="preserve">Партнер</t>
  </si>
  <si>
    <t xml:space="preserve">АСТ</t>
  </si>
  <si>
    <t xml:space="preserve">Партнерское КВ</t>
  </si>
  <si>
    <t xml:space="preserve">Партнерское КВ АСТ</t>
  </si>
  <si>
    <t xml:space="preserve">Общая нагрузка</t>
  </si>
  <si>
    <r>
      <rPr>
        <b val="true"/>
        <sz val="10"/>
        <color rgb="FFFF0000"/>
        <rFont val="Calibri"/>
        <family val="2"/>
        <charset val="1"/>
      </rPr>
      <t xml:space="preserve">НС</t>
    </r>
    <r>
      <rPr>
        <b val="true"/>
        <sz val="10"/>
        <color rgb="FF000000"/>
        <rFont val="Calibri"/>
        <family val="2"/>
        <charset val="1"/>
      </rPr>
      <t xml:space="preserve">| Поправка</t>
    </r>
  </si>
  <si>
    <r>
      <rPr>
        <b val="true"/>
        <sz val="10"/>
        <color rgb="FFFF0000"/>
        <rFont val="Calibri"/>
        <family val="2"/>
        <charset val="1"/>
      </rPr>
      <t xml:space="preserve">Имущество</t>
    </r>
    <r>
      <rPr>
        <b val="true"/>
        <sz val="10"/>
        <color rgb="FF000000"/>
        <rFont val="Calibri"/>
        <family val="2"/>
        <charset val="1"/>
      </rPr>
      <t xml:space="preserve"> |Поправка</t>
    </r>
  </si>
  <si>
    <r>
      <rPr>
        <b val="true"/>
        <sz val="10"/>
        <color rgb="FFFF0000"/>
        <rFont val="Calibri"/>
        <family val="2"/>
        <charset val="1"/>
      </rPr>
      <t xml:space="preserve">Титул</t>
    </r>
    <r>
      <rPr>
        <b val="true"/>
        <sz val="10"/>
        <color rgb="FF000000"/>
        <rFont val="Calibri"/>
        <family val="2"/>
        <charset val="1"/>
      </rPr>
      <t xml:space="preserve"> |Поправка</t>
    </r>
  </si>
  <si>
    <t xml:space="preserve">Смотрим цену РНПК (НС)?</t>
  </si>
  <si>
    <t xml:space="preserve">Да</t>
  </si>
  <si>
    <t xml:space="preserve">Результат</t>
  </si>
  <si>
    <t xml:space="preserve">Покрытие:</t>
  </si>
  <si>
    <t xml:space="preserve">Тариф</t>
  </si>
  <si>
    <t xml:space="preserve">Тариф нетто</t>
  </si>
  <si>
    <t xml:space="preserve">РНПК</t>
  </si>
  <si>
    <t xml:space="preserve">РНПК+РВД</t>
  </si>
  <si>
    <t xml:space="preserve">Дельта</t>
  </si>
  <si>
    <t xml:space="preserve">Абсолют дельта</t>
  </si>
  <si>
    <t xml:space="preserve">Цена РНПК</t>
  </si>
  <si>
    <t xml:space="preserve">Цена РНПК + КВ</t>
  </si>
  <si>
    <t xml:space="preserve">Тариф РНПК брутто</t>
  </si>
  <si>
    <t xml:space="preserve">Остаток кредита</t>
  </si>
  <si>
    <t xml:space="preserve">в этом блоке требуется ввести страховую сумму, в соответствии с которой, рассчитается страховой взнос.</t>
  </si>
  <si>
    <t xml:space="preserve">Ставка банка (к ОСЗ прибавка)</t>
  </si>
  <si>
    <t xml:space="preserve">Страховая сумма</t>
  </si>
  <si>
    <r>
      <rPr>
        <b val="true"/>
        <sz val="10"/>
        <color rgb="FFFF0000"/>
        <rFont val="Calibri"/>
        <family val="2"/>
        <charset val="1"/>
      </rPr>
      <t xml:space="preserve">НС</t>
    </r>
    <r>
      <rPr>
        <b val="true"/>
        <sz val="10"/>
        <color rgb="FF000000"/>
        <rFont val="Calibri"/>
        <family val="2"/>
        <charset val="1"/>
      </rPr>
      <t xml:space="preserve"> |Итоговый тариф, % от страховой суммы</t>
    </r>
  </si>
  <si>
    <t xml:space="preserve">Страховой взнос</t>
  </si>
  <si>
    <r>
      <rPr>
        <b val="true"/>
        <sz val="10"/>
        <color rgb="FFFF0000"/>
        <rFont val="Calibri"/>
        <family val="2"/>
        <charset val="1"/>
      </rPr>
      <t xml:space="preserve">Имущество</t>
    </r>
    <r>
      <rPr>
        <b val="true"/>
        <sz val="10"/>
        <color rgb="FF000000"/>
        <rFont val="Calibri"/>
        <family val="2"/>
        <charset val="1"/>
      </rPr>
      <t xml:space="preserve"> |Итоговый тариф, % от страховой суммы</t>
    </r>
  </si>
  <si>
    <r>
      <rPr>
        <b val="true"/>
        <sz val="10"/>
        <color rgb="FFFF0000"/>
        <rFont val="Calibri"/>
        <family val="2"/>
        <charset val="1"/>
      </rPr>
      <t xml:space="preserve">Титул</t>
    </r>
    <r>
      <rPr>
        <b val="true"/>
        <sz val="10"/>
        <color rgb="FF000000"/>
        <rFont val="Calibri"/>
        <family val="2"/>
        <charset val="1"/>
      </rPr>
      <t xml:space="preserve"> |Итоговый тариф, % от страховой суммы</t>
    </r>
  </si>
  <si>
    <r>
      <rPr>
        <b val="true"/>
        <sz val="10"/>
        <color rgb="FF000000"/>
        <rFont val="Calibri"/>
        <family val="2"/>
        <charset val="1"/>
      </rPr>
      <t xml:space="preserve">Партнерское </t>
    </r>
    <r>
      <rPr>
        <b val="true"/>
        <sz val="10"/>
        <color rgb="FFFF0000"/>
        <rFont val="Calibri"/>
        <family val="2"/>
        <charset val="1"/>
      </rPr>
      <t xml:space="preserve">КВ</t>
    </r>
  </si>
  <si>
    <t xml:space="preserve">Всего | Страховой взнос по договору </t>
  </si>
  <si>
    <r>
      <rPr>
        <b val="true"/>
        <sz val="10"/>
        <color rgb="FFFF0000"/>
        <rFont val="Calibri"/>
        <family val="2"/>
        <charset val="1"/>
      </rPr>
      <t xml:space="preserve">НС</t>
    </r>
    <r>
      <rPr>
        <b val="true"/>
        <sz val="10"/>
        <color rgb="FF000000"/>
        <rFont val="Calibri"/>
        <family val="2"/>
        <charset val="1"/>
      </rPr>
      <t xml:space="preserve"> </t>
    </r>
  </si>
  <si>
    <t xml:space="preserve">Имущество</t>
  </si>
  <si>
    <t xml:space="preserve">Титул</t>
  </si>
  <si>
    <t xml:space="preserve">Имущество + титул</t>
  </si>
  <si>
    <t xml:space="preserve">Тариф брутто</t>
  </si>
  <si>
    <t xml:space="preserve">Тариф брутто РНПК</t>
  </si>
  <si>
    <t xml:space="preserve">Тариф нетто РНПК</t>
  </si>
  <si>
    <t xml:space="preserve">Тариф РНПК + РВД 5%</t>
  </si>
  <si>
    <t xml:space="preserve">Дельта абсолют</t>
  </si>
  <si>
    <t xml:space="preserve">Премия брутто</t>
  </si>
  <si>
    <t xml:space="preserve">Нетто-тариф</t>
  </si>
  <si>
    <t xml:space="preserve">Нетто-премия</t>
  </si>
  <si>
    <t xml:space="preserve">Нетто-премия по доле Перестрахователя</t>
  </si>
  <si>
    <t xml:space="preserve">Нетто-премия по доле Перестраховщика</t>
  </si>
  <si>
    <t xml:space="preserve">Фин. результат</t>
  </si>
  <si>
    <t xml:space="preserve">Скидка за счет КВ</t>
  </si>
  <si>
    <t xml:space="preserve">СОЗАЕМЩИК</t>
  </si>
  <si>
    <t xml:space="preserve">Есть?</t>
  </si>
  <si>
    <t xml:space="preserve">Доля заемщика</t>
  </si>
  <si>
    <r>
      <rPr>
        <b val="true"/>
        <sz val="10"/>
        <color rgb="FFF10D0C"/>
        <rFont val="Calibri"/>
        <family val="2"/>
        <charset val="1"/>
      </rPr>
      <t xml:space="preserve">НС </t>
    </r>
    <r>
      <rPr>
        <b val="true"/>
        <sz val="10"/>
        <color rgb="FF000000"/>
        <rFont val="Calibri"/>
        <family val="2"/>
        <charset val="1"/>
      </rPr>
      <t xml:space="preserve">| Страховой взнос</t>
    </r>
  </si>
  <si>
    <r>
      <rPr>
        <b val="true"/>
        <sz val="10"/>
        <color rgb="FFF10D0C"/>
        <rFont val="Calibri"/>
        <family val="2"/>
        <charset val="1"/>
      </rPr>
      <t xml:space="preserve">Имущество </t>
    </r>
    <r>
      <rPr>
        <b val="true"/>
        <sz val="10"/>
        <color rgb="FF000000"/>
        <rFont val="Calibri"/>
        <family val="2"/>
        <charset val="1"/>
      </rPr>
      <t xml:space="preserve">| Страховой взнос</t>
    </r>
  </si>
  <si>
    <t xml:space="preserve">Наша</t>
  </si>
  <si>
    <t xml:space="preserve">Период</t>
  </si>
  <si>
    <t xml:space="preserve">Пакет рисков базовый</t>
  </si>
  <si>
    <t xml:space="preserve">Нагрузка</t>
  </si>
  <si>
    <t xml:space="preserve">Брутто-ставка (страховой тариф)</t>
  </si>
  <si>
    <t xml:space="preserve">Поправочный коэффициент</t>
  </si>
  <si>
    <r>
      <rPr>
        <b val="true"/>
        <sz val="12"/>
        <rFont val="PT Astra Serif"/>
        <family val="1"/>
        <charset val="1"/>
      </rPr>
      <t xml:space="preserve">К7 -</t>
    </r>
    <r>
      <rPr>
        <sz val="12"/>
        <rFont val="PT Astra Serif"/>
        <family val="1"/>
        <charset val="1"/>
      </rPr>
      <t xml:space="preserve"> </t>
    </r>
    <r>
      <rPr>
        <sz val="11"/>
        <color rgb="FF000000"/>
        <rFont val="Calibri"/>
        <family val="2"/>
        <charset val="1"/>
      </rPr>
      <t xml:space="preserve">Коэффициент риска, зависящий от включения в страховое покрытие возмещение вреда отделке и инженерному оборудованию (сетям): 1,15.</t>
    </r>
  </si>
  <si>
    <t xml:space="preserve">СТС</t>
  </si>
  <si>
    <t xml:space="preserve">КВ</t>
  </si>
  <si>
    <r>
      <rPr>
        <b val="true"/>
        <sz val="12"/>
        <rFont val="PT Astra Serif"/>
        <family val="1"/>
        <charset val="1"/>
      </rPr>
      <t xml:space="preserve">К8</t>
    </r>
    <r>
      <rPr>
        <sz val="11"/>
        <color rgb="FF000000"/>
        <rFont val="Calibri"/>
        <family val="2"/>
        <charset val="1"/>
      </rPr>
      <t xml:space="preserve"> - Коэффициент риска, учитывающий страхование с неагрегатной страховой суммой: 1,00.</t>
    </r>
  </si>
  <si>
    <t xml:space="preserve">РВД</t>
  </si>
  <si>
    <r>
      <rPr>
        <b val="true"/>
        <sz val="12"/>
        <rFont val="PT Astra Serif"/>
        <family val="1"/>
        <charset val="1"/>
      </rPr>
      <t xml:space="preserve">К9</t>
    </r>
    <r>
      <rPr>
        <sz val="11"/>
        <color rgb="FF000000"/>
        <rFont val="Calibri"/>
        <family val="2"/>
        <charset val="1"/>
      </rPr>
      <t xml:space="preserve"> – Коэффициент, учитывающий особенности территории страхования: 0,7-2,5.</t>
    </r>
  </si>
  <si>
    <r>
      <rPr>
        <b val="true"/>
        <sz val="12"/>
        <rFont val="PT Astra Serif"/>
        <family val="1"/>
        <charset val="1"/>
      </rPr>
      <t xml:space="preserve">К10</t>
    </r>
    <r>
      <rPr>
        <sz val="11"/>
        <color rgb="FF000000"/>
        <rFont val="Calibri"/>
        <family val="2"/>
        <charset val="1"/>
      </rPr>
      <t xml:space="preserve"> - Коэффициент, применяемый при наличии важных факторов, влияющих на наступление страхового события: 0,3-4,0.</t>
    </r>
  </si>
  <si>
    <t xml:space="preserve">НС</t>
  </si>
  <si>
    <r>
      <rPr>
        <b val="true"/>
        <sz val="12"/>
        <rFont val="PT Astra Serif"/>
        <family val="1"/>
        <charset val="1"/>
      </rPr>
      <t xml:space="preserve">К11</t>
    </r>
    <r>
      <rPr>
        <sz val="11"/>
        <color rgb="FF000000"/>
        <rFont val="Calibri"/>
        <family val="2"/>
        <charset val="1"/>
      </rPr>
      <t xml:space="preserve"> - Коэффициент риска, применяемый при ограничении числа внешних факторов, влияющих на наступление страхового события (при сужении страхового покрытия): 0,05-0,99.</t>
    </r>
  </si>
  <si>
    <r>
      <rPr>
        <b val="true"/>
        <sz val="12"/>
        <rFont val="PT Astra Serif"/>
        <family val="1"/>
        <charset val="1"/>
      </rPr>
      <t xml:space="preserve">К12</t>
    </r>
    <r>
      <rPr>
        <sz val="11"/>
        <color rgb="FF000000"/>
        <rFont val="Calibri"/>
        <family val="2"/>
        <charset val="1"/>
      </rPr>
      <t xml:space="preserve"> - Коэффициент, учитывающий величину страховой суммы: 0,5-3,0.</t>
    </r>
  </si>
  <si>
    <t xml:space="preserve">Деятельность</t>
  </si>
  <si>
    <r>
      <rPr>
        <b val="true"/>
        <sz val="12"/>
        <rFont val="PT Astra Serif"/>
        <family val="1"/>
        <charset val="1"/>
      </rPr>
      <t xml:space="preserve">К13</t>
    </r>
    <r>
      <rPr>
        <sz val="11"/>
        <color rgb="FF000000"/>
        <rFont val="Calibri"/>
        <family val="2"/>
        <charset val="1"/>
      </rPr>
      <t xml:space="preserve"> - Коэффициент риска, зависящий от предшествующей страховой истории: 0,7-5,0.</t>
    </r>
  </si>
  <si>
    <t xml:space="preserve">Банк %</t>
  </si>
  <si>
    <r>
      <rPr>
        <b val="true"/>
        <sz val="12"/>
        <rFont val="PT Astra Serif"/>
        <family val="1"/>
        <charset val="1"/>
      </rPr>
      <t xml:space="preserve">К14 -</t>
    </r>
    <r>
      <rPr>
        <sz val="11"/>
        <color rgb="FF000000"/>
        <rFont val="Calibri"/>
        <family val="2"/>
        <charset val="1"/>
      </rPr>
      <t xml:space="preserve"> Коэффициент, применяемый в случае снижения комиссионного вознаграждения или изменения структуры тарифа в части снижения доли нагрузки: 0,2-1,0.</t>
    </r>
  </si>
  <si>
    <t xml:space="preserve">Опасная</t>
  </si>
  <si>
    <t xml:space="preserve">Спорт</t>
  </si>
  <si>
    <r>
      <rPr>
        <b val="true"/>
        <sz val="12"/>
        <rFont val="PT Astra Serif"/>
        <family val="1"/>
        <charset val="1"/>
      </rPr>
      <t xml:space="preserve">К15</t>
    </r>
    <r>
      <rPr>
        <sz val="11"/>
        <color rgb="FF000000"/>
        <rFont val="Calibri"/>
        <family val="2"/>
        <charset val="1"/>
      </rPr>
      <t xml:space="preserve"> - Коэффициент, учитывающий наличие в застрахованном помещении/строении средств пожаротушения: 0,70-1,00.</t>
    </r>
  </si>
  <si>
    <r>
      <rPr>
        <b val="true"/>
        <sz val="12"/>
        <rFont val="PT Astra Serif"/>
        <family val="1"/>
        <charset val="1"/>
      </rPr>
      <t xml:space="preserve">К16 -</t>
    </r>
    <r>
      <rPr>
        <sz val="11"/>
        <color rgb="FF000000"/>
        <rFont val="Calibri"/>
        <family val="2"/>
        <charset val="1"/>
      </rPr>
      <t xml:space="preserve"> Коэффициент риска, зависящий от наличия источников открытого огня и газопровода: 1-10.</t>
    </r>
  </si>
  <si>
    <r>
      <rPr>
        <b val="true"/>
        <sz val="12"/>
        <rFont val="PT Astra Serif"/>
        <family val="1"/>
        <charset val="1"/>
      </rPr>
      <t xml:space="preserve">К17</t>
    </r>
    <r>
      <rPr>
        <sz val="11"/>
        <color rgb="FF000000"/>
        <rFont val="Calibri"/>
        <family val="2"/>
        <charset val="1"/>
      </rPr>
      <t xml:space="preserve"> - Коэффициент риска, зависящий от наличия средств охраны на объекте: 0,8-1,2.</t>
    </r>
  </si>
  <si>
    <t xml:space="preserve">Коэффициент</t>
  </si>
  <si>
    <t xml:space="preserve">Тариф в пере с учетом нашего КВ</t>
  </si>
  <si>
    <r>
      <rPr>
        <b val="true"/>
        <sz val="12"/>
        <rFont val="PT Astra Serif"/>
        <family val="1"/>
        <charset val="1"/>
      </rPr>
      <t xml:space="preserve">К18 -</t>
    </r>
    <r>
      <rPr>
        <sz val="11"/>
        <color rgb="FF000000"/>
        <rFont val="Calibri"/>
        <family val="2"/>
        <charset val="1"/>
      </rPr>
      <t xml:space="preserve"> Коэффициент риска, зависящий от характера местонахождения земельного участка: 0,3-4,0.</t>
    </r>
  </si>
  <si>
    <t xml:space="preserve">Мужчина</t>
  </si>
  <si>
    <r>
      <rPr>
        <b val="true"/>
        <sz val="12"/>
        <rFont val="PT Astra Serif"/>
        <family val="1"/>
        <charset val="1"/>
      </rPr>
      <t xml:space="preserve">К19 -</t>
    </r>
    <r>
      <rPr>
        <sz val="11"/>
        <color rgb="FF000000"/>
        <rFont val="Calibri"/>
        <family val="2"/>
        <charset val="1"/>
      </rPr>
      <t xml:space="preserve"> Коэффициент риска, зависящий от вида разрешенного использования земельного участка: 1-4.</t>
    </r>
  </si>
  <si>
    <t xml:space="preserve">18-20</t>
  </si>
  <si>
    <r>
      <rPr>
        <b val="true"/>
        <sz val="12"/>
        <rFont val="PT Astra Serif"/>
        <family val="1"/>
        <charset val="1"/>
      </rPr>
      <t xml:space="preserve">К20 -</t>
    </r>
    <r>
      <rPr>
        <sz val="11"/>
        <color rgb="FF000000"/>
        <rFont val="Calibri"/>
        <family val="2"/>
        <charset val="1"/>
      </rPr>
      <t xml:space="preserve"> Коэффициент, учитывающий проведение ремонтных, отделочных или строительных работ: 1,2.</t>
    </r>
  </si>
  <si>
    <t xml:space="preserve">21-25</t>
  </si>
  <si>
    <r>
      <rPr>
        <b val="true"/>
        <sz val="12"/>
        <rFont val="PT Astra Serif"/>
        <family val="1"/>
        <charset val="1"/>
      </rPr>
      <t xml:space="preserve">К21</t>
    </r>
    <r>
      <rPr>
        <sz val="11"/>
        <color rgb="FF000000"/>
        <rFont val="Calibri"/>
        <family val="2"/>
        <charset val="1"/>
      </rPr>
      <t xml:space="preserve"> - Коэффициент, применяемый для установления маркетинговой цены страхового продукта: 0,7-3,0.</t>
    </r>
  </si>
  <si>
    <t xml:space="preserve">26-27</t>
  </si>
  <si>
    <t xml:space="preserve">28-29</t>
  </si>
  <si>
    <t xml:space="preserve">30-31</t>
  </si>
  <si>
    <r>
      <rPr>
        <b val="true"/>
        <sz val="12"/>
        <rFont val="PT Astra Serif"/>
        <family val="1"/>
        <charset val="1"/>
      </rPr>
      <t xml:space="preserve">К4 -</t>
    </r>
    <r>
      <rPr>
        <sz val="12"/>
        <rFont val="PT Astra Serif"/>
        <family val="1"/>
        <charset val="1"/>
      </rPr>
      <t xml:space="preserve"> </t>
    </r>
    <r>
      <rPr>
        <sz val="11"/>
        <color rgb="FF000000"/>
        <rFont val="Calibri"/>
        <family val="2"/>
        <charset val="1"/>
      </rPr>
      <t xml:space="preserve">Коэффициент риска, учитывающий страхование с неагрегатной страховой суммой: 1,00.</t>
    </r>
  </si>
  <si>
    <t xml:space="preserve">32-33</t>
  </si>
  <si>
    <r>
      <rPr>
        <b val="true"/>
        <sz val="12"/>
        <rFont val="PT Astra Serif"/>
        <family val="1"/>
        <charset val="1"/>
      </rPr>
      <t xml:space="preserve">К5 -</t>
    </r>
    <r>
      <rPr>
        <sz val="11"/>
        <color rgb="FF000000"/>
        <rFont val="Calibri"/>
        <family val="2"/>
        <charset val="1"/>
      </rPr>
      <t xml:space="preserve"> Коэффициент, применяемый для установления маркетинговой цены страхового продукта</t>
    </r>
    <r>
      <rPr>
        <b val="true"/>
        <sz val="12"/>
        <rFont val="PT Astra Serif"/>
        <family val="1"/>
        <charset val="1"/>
      </rPr>
      <t xml:space="preserve">:0,70-3,0</t>
    </r>
    <r>
      <rPr>
        <sz val="11"/>
        <color rgb="FF000000"/>
        <rFont val="Calibri"/>
        <family val="2"/>
        <charset val="1"/>
      </rPr>
      <t xml:space="preserve">.</t>
    </r>
  </si>
  <si>
    <t xml:space="preserve">34-35</t>
  </si>
  <si>
    <r>
      <rPr>
        <b val="true"/>
        <sz val="12"/>
        <rFont val="PT Astra Serif"/>
        <family val="1"/>
        <charset val="1"/>
      </rPr>
      <t xml:space="preserve">К6 -</t>
    </r>
    <r>
      <rPr>
        <sz val="11"/>
        <color rgb="FF000000"/>
        <rFont val="Calibri"/>
        <family val="2"/>
        <charset val="1"/>
      </rPr>
      <t xml:space="preserve"> Коэффициент, применяемый при наличии важных факторов, влияющих на наступление страхового события: 0,3-4,0.</t>
    </r>
  </si>
  <si>
    <t xml:space="preserve">36-37</t>
  </si>
  <si>
    <r>
      <rPr>
        <b val="true"/>
        <sz val="12"/>
        <rFont val="PT Astra Serif"/>
        <family val="1"/>
        <charset val="1"/>
      </rPr>
      <t xml:space="preserve">К7 -</t>
    </r>
    <r>
      <rPr>
        <sz val="11"/>
        <color rgb="FF000000"/>
        <rFont val="Calibri"/>
        <family val="2"/>
        <charset val="1"/>
      </rPr>
      <t xml:space="preserve"> Коэффициент риска, применяемый при ограничении числа внешних факторов, влияющих на наступление страхового события (при сужении страхового покрытия): 0,05-0,99.</t>
    </r>
  </si>
  <si>
    <t xml:space="preserve">38-39</t>
  </si>
  <si>
    <r>
      <rPr>
        <b val="true"/>
        <sz val="12"/>
        <rFont val="PT Astra Serif"/>
        <family val="1"/>
        <charset val="1"/>
      </rPr>
      <t xml:space="preserve">К8 -</t>
    </r>
    <r>
      <rPr>
        <sz val="11"/>
        <color rgb="FF000000"/>
        <rFont val="Calibri"/>
        <family val="2"/>
        <charset val="1"/>
      </rPr>
      <t xml:space="preserve"> Коэффициент, учитывающий величину страховой суммы: 0,50-3,0.</t>
    </r>
  </si>
  <si>
    <t xml:space="preserve">40-41</t>
  </si>
  <si>
    <r>
      <rPr>
        <b val="true"/>
        <sz val="12"/>
        <rFont val="PT Astra Serif"/>
        <family val="1"/>
        <charset val="1"/>
      </rPr>
      <t xml:space="preserve">К9 -</t>
    </r>
    <r>
      <rPr>
        <sz val="11"/>
        <color rgb="FF000000"/>
        <rFont val="Calibri"/>
        <family val="2"/>
        <charset val="1"/>
      </rPr>
      <t xml:space="preserve"> Коэффициент риска, зависящий от предшествующей страховой истории: 0,70-5,0.</t>
    </r>
  </si>
  <si>
    <t xml:space="preserve">42-43</t>
  </si>
  <si>
    <r>
      <rPr>
        <b val="true"/>
        <sz val="12"/>
        <rFont val="PT Astra Serif"/>
        <family val="1"/>
        <charset val="1"/>
      </rPr>
      <t xml:space="preserve">К10 -</t>
    </r>
    <r>
      <rPr>
        <sz val="11"/>
        <color rgb="FF000000"/>
        <rFont val="Calibri"/>
        <family val="2"/>
        <charset val="1"/>
      </rPr>
      <t xml:space="preserve"> Коэффициент, применяемый в случае снижения комиссионного вознаграждения или изменения структуры тарифа в части снижения доли нагрузки:0,20-1,00.</t>
    </r>
  </si>
  <si>
    <t xml:space="preserve">44-46</t>
  </si>
  <si>
    <r>
      <rPr>
        <b val="true"/>
        <sz val="12"/>
        <rFont val="PT Astra Serif"/>
        <family val="1"/>
        <charset val="1"/>
      </rPr>
      <t xml:space="preserve">К11 -</t>
    </r>
    <r>
      <rPr>
        <sz val="12"/>
        <rFont val="PT Astra Serif"/>
        <family val="1"/>
        <charset val="1"/>
      </rPr>
      <t xml:space="preserve"> </t>
    </r>
    <r>
      <rPr>
        <sz val="11"/>
        <color rgb="FF000000"/>
        <rFont val="Calibri"/>
        <family val="2"/>
        <charset val="1"/>
      </rPr>
      <t xml:space="preserve">Коэффициент риска, учитывающий наличие заболеваний из перечня социально значимых заболеваний, а также цирроза печени, сердечно-сосудистых заболеваний: 1,00-10,0.</t>
    </r>
  </si>
  <si>
    <t xml:space="preserve">47-49</t>
  </si>
  <si>
    <r>
      <rPr>
        <b val="true"/>
        <sz val="12"/>
        <rFont val="PT Astra Serif"/>
        <family val="1"/>
        <charset val="1"/>
      </rPr>
      <t xml:space="preserve">К12 -</t>
    </r>
    <r>
      <rPr>
        <sz val="11"/>
        <color rgb="FF000000"/>
        <rFont val="Calibri"/>
        <family val="2"/>
        <charset val="1"/>
      </rPr>
      <t xml:space="preserve"> Коэффициент риска, зависящий от вида деятельности застрахованных лиц: 0,50-10,0.</t>
    </r>
  </si>
  <si>
    <t xml:space="preserve">50-52</t>
  </si>
  <si>
    <r>
      <rPr>
        <b val="true"/>
        <sz val="12"/>
        <rFont val="PT Astra Serif"/>
        <family val="1"/>
        <charset val="1"/>
      </rPr>
      <t xml:space="preserve">К13 -</t>
    </r>
    <r>
      <rPr>
        <sz val="11"/>
        <color rgb="FF000000"/>
        <rFont val="Calibri"/>
        <family val="2"/>
        <charset val="1"/>
      </rPr>
      <t xml:space="preserve"> Коэффициент риска, зависящий от занятий спортом Застрахованным лицом: 1,00-5,00.</t>
    </r>
  </si>
  <si>
    <t xml:space="preserve">53-55</t>
  </si>
  <si>
    <t xml:space="preserve">56-58</t>
  </si>
  <si>
    <t xml:space="preserve">59-63</t>
  </si>
  <si>
    <t xml:space="preserve">64-65</t>
  </si>
  <si>
    <t xml:space="preserve">Имво</t>
  </si>
  <si>
    <t xml:space="preserve">Тариф без констр</t>
  </si>
  <si>
    <t xml:space="preserve">Терроризм</t>
  </si>
  <si>
    <t xml:space="preserve">Смешанный</t>
  </si>
  <si>
    <t xml:space="preserve">Деревянный</t>
  </si>
  <si>
    <t xml:space="preserve">Дом</t>
  </si>
  <si>
    <t xml:space="preserve">Нежилое помещение</t>
  </si>
  <si>
    <t xml:space="preserve">1,00 – 1,40</t>
  </si>
  <si>
    <t xml:space="preserve">Земельный участок</t>
  </si>
  <si>
    <t xml:space="preserve">Коэффициент риска</t>
  </si>
  <si>
    <t xml:space="preserve">0-20</t>
  </si>
  <si>
    <t xml:space="preserve">20-29</t>
  </si>
  <si>
    <t xml:space="preserve">30-59</t>
  </si>
  <si>
    <t xml:space="preserve">Андеррайтинг</t>
  </si>
  <si>
    <t xml:space="preserve">1,1-5,00</t>
  </si>
  <si>
    <t xml:space="preserve">БАНК</t>
  </si>
  <si>
    <t xml:space="preserve"> КВ от АСТ</t>
  </si>
  <si>
    <t xml:space="preserve">Фин АСТ</t>
  </si>
  <si>
    <t xml:space="preserve">Предложение (ИП)</t>
  </si>
  <si>
    <t xml:space="preserve">Вид страхования</t>
  </si>
  <si>
    <t xml:space="preserve">Нетто-ставка в перестрахование</t>
  </si>
  <si>
    <t xml:space="preserve">Партнеры</t>
  </si>
  <si>
    <t xml:space="preserve">КВ Банка</t>
  </si>
  <si>
    <t xml:space="preserve">Конструктив</t>
  </si>
  <si>
    <t xml:space="preserve">КИС</t>
  </si>
  <si>
    <t xml:space="preserve"> </t>
  </si>
  <si>
    <t xml:space="preserve">АбсолютБанк</t>
  </si>
  <si>
    <t xml:space="preserve">ВТБ</t>
  </si>
  <si>
    <t xml:space="preserve">Иной</t>
  </si>
  <si>
    <t xml:space="preserve">Акбарс</t>
  </si>
  <si>
    <t xml:space="preserve">Райффайзен Банк</t>
  </si>
  <si>
    <t xml:space="preserve">Им-во</t>
  </si>
  <si>
    <t xml:space="preserve">0,025%</t>
  </si>
  <si>
    <t xml:space="preserve">Альфабанк</t>
  </si>
  <si>
    <t xml:space="preserve">Дом РФ</t>
  </si>
  <si>
    <t xml:space="preserve">0,07%</t>
  </si>
  <si>
    <t xml:space="preserve">Связь Банк</t>
  </si>
  <si>
    <t xml:space="preserve">0,045%</t>
  </si>
  <si>
    <t xml:space="preserve">ГПБ</t>
  </si>
  <si>
    <t xml:space="preserve">Уралсиб</t>
  </si>
  <si>
    <t xml:space="preserve">0,05%</t>
  </si>
  <si>
    <t xml:space="preserve">АльфаБанк</t>
  </si>
  <si>
    <t xml:space="preserve">ИФЛ</t>
  </si>
  <si>
    <t xml:space="preserve">МКБ</t>
  </si>
  <si>
    <t xml:space="preserve">0,046%</t>
  </si>
  <si>
    <t xml:space="preserve">Промсвязьбанк</t>
  </si>
  <si>
    <t xml:space="preserve">КБ "Локо-Банк" (АО)</t>
  </si>
  <si>
    <t xml:space="preserve">Дом-дерево</t>
  </si>
  <si>
    <t xml:space="preserve">0,09%</t>
  </si>
  <si>
    <t xml:space="preserve">Открытие</t>
  </si>
  <si>
    <t xml:space="preserve">Дом-камень</t>
  </si>
  <si>
    <t xml:space="preserve">0,075%</t>
  </si>
  <si>
    <t xml:space="preserve">РСХБ</t>
  </si>
  <si>
    <t xml:space="preserve">Дом-смешанный</t>
  </si>
  <si>
    <t xml:space="preserve">0,070%</t>
  </si>
  <si>
    <t xml:space="preserve">Росбанкдом/Дельта</t>
  </si>
  <si>
    <t xml:space="preserve">Баня</t>
  </si>
  <si>
    <t xml:space="preserve">0,128%</t>
  </si>
  <si>
    <t xml:space="preserve">Т-банк</t>
  </si>
  <si>
    <t xml:space="preserve">Юникредит</t>
  </si>
  <si>
    <t xml:space="preserve">Минбанк</t>
  </si>
  <si>
    <t xml:space="preserve">Банк СПБ</t>
  </si>
  <si>
    <t xml:space="preserve">Совкомбанк</t>
  </si>
  <si>
    <t xml:space="preserve">Газпромбанк</t>
  </si>
  <si>
    <t xml:space="preserve">ТрансКапиталБанк/ ИНВЕСТТОРГБАНК</t>
  </si>
  <si>
    <t xml:space="preserve">в этом блоке требуется ввести страховую сумму, в соответствии с которой, рассчитается страховой взнос.
Некоторые банки требуют 10% от остатка — ВТБ, Альфа, Райф, РСХБ, Юни
Сбер, ПСБ, МКБ — 0%.</t>
  </si>
  <si>
    <t xml:space="preserve">Ак Барс</t>
  </si>
  <si>
    <t xml:space="preserve">Зенит</t>
  </si>
  <si>
    <t xml:space="preserve">СМП Банк</t>
  </si>
  <si>
    <t xml:space="preserve">Аверс</t>
  </si>
  <si>
    <t xml:space="preserve">Автоградбанк</t>
  </si>
  <si>
    <t xml:space="preserve">Азиатско-Тихоокеанский банк</t>
  </si>
  <si>
    <t xml:space="preserve">БК Снежинский</t>
  </si>
  <si>
    <t xml:space="preserve">АКБ Форштадт</t>
  </si>
  <si>
    <t xml:space="preserve">Дальневосточный банк</t>
  </si>
  <si>
    <t xml:space="preserve">Интеза</t>
  </si>
  <si>
    <t xml:space="preserve">Кошелев-Банк</t>
  </si>
  <si>
    <t xml:space="preserve">Кредит Европа Банк</t>
  </si>
  <si>
    <t xml:space="preserve">Кузнецкбизнесбанк</t>
  </si>
  <si>
    <t xml:space="preserve">Металлинвестбанк</t>
  </si>
  <si>
    <t xml:space="preserve">МТС</t>
  </si>
  <si>
    <t xml:space="preserve">Нико-Банк</t>
  </si>
  <si>
    <t xml:space="preserve">ПримСоцБанк</t>
  </si>
  <si>
    <t xml:space="preserve">СеверИнвестПроект</t>
  </si>
  <si>
    <t xml:space="preserve">СКБ-БАНК</t>
  </si>
  <si>
    <t xml:space="preserve">Страховое Агентство ТСБ</t>
  </si>
  <si>
    <t xml:space="preserve">Держава</t>
  </si>
  <si>
    <t xml:space="preserve">Энерготрансбанк</t>
  </si>
  <si>
    <t xml:space="preserve">Москоммерцбанк</t>
  </si>
  <si>
    <t xml:space="preserve">ГазНефтьбанк</t>
  </si>
  <si>
    <t xml:space="preserve">РостФинанс</t>
  </si>
  <si>
    <t xml:space="preserve">Банк Жилищного финансирования</t>
  </si>
  <si>
    <t xml:space="preserve">РНКБ Банк (ПАО)</t>
  </si>
  <si>
    <t xml:space="preserve">ПАО «Восточный экспресс банк»</t>
  </si>
  <si>
    <t xml:space="preserve">СДМ-Банк (ПАО)</t>
  </si>
  <si>
    <t xml:space="preserve">АО "Банк СГБ" (Севергазбанк)</t>
  </si>
  <si>
    <t xml:space="preserve">АО КБ "Руснарбанк"</t>
  </si>
  <si>
    <t xml:space="preserve">АО АКБ "Новикомбанк"</t>
  </si>
  <si>
    <t xml:space="preserve">АО Банк «СНГБ» (Сургутнефтегазбанк)</t>
  </si>
  <si>
    <t xml:space="preserve">АО АБ "РОССИЯ"</t>
  </si>
  <si>
    <t xml:space="preserve">АО КБ "ФОРА-БАНК"</t>
  </si>
  <si>
    <t xml:space="preserve">АБ КБ "Солидарность" (Предыдущее название МИА)</t>
  </si>
  <si>
    <t xml:space="preserve">УБРиР</t>
  </si>
  <si>
    <t xml:space="preserve">ООО
"Агентская
компания
"ГАМБИТ"</t>
  </si>
  <si>
    <t xml:space="preserve">ПАО
Новосибирский
социальный
коммерческий
банк
"Левобережный"</t>
  </si>
  <si>
    <t xml:space="preserve">ООО "Ригванс"</t>
  </si>
  <si>
    <t xml:space="preserve">ООО "БИЗНЕС
СИТИ"</t>
  </si>
  <si>
    <t xml:space="preserve">АО "БМ-Банк"</t>
  </si>
  <si>
    <t xml:space="preserve">ООО "ПАЙК
ПЛЕЙС"</t>
  </si>
  <si>
    <t xml:space="preserve">ООО "Горизонт
страховой
брокер"</t>
  </si>
  <si>
    <t xml:space="preserve">ПАО Банк
Синара</t>
  </si>
  <si>
    <t xml:space="preserve">ООО
"СОВКОМКАР
Д"</t>
  </si>
  <si>
    <t xml:space="preserve">ООО
"Инвестлизинг"</t>
  </si>
  <si>
    <t xml:space="preserve">ООО "Хоум
Кредит энд
Финанс Банк"</t>
  </si>
  <si>
    <t xml:space="preserve">АКБ
"Энергобанк"</t>
  </si>
  <si>
    <t xml:space="preserve">АО "Всероссийский Банк
Развития Регионов"</t>
  </si>
  <si>
    <t xml:space="preserve">АКЦЕПТ БАНК (Новосибирск)</t>
  </si>
  <si>
    <t xml:space="preserve">АЛМАЗЭРГИЭНБАНК (АЭБ)</t>
  </si>
  <si>
    <t xml:space="preserve">СОБИНБАНК</t>
  </si>
  <si>
    <t xml:space="preserve">СОЮЗ БАНК</t>
  </si>
  <si>
    <t xml:space="preserve">Запсибкомбанк (ПАО)</t>
  </si>
  <si>
    <t xml:space="preserve">СИБИРСКИЙ СОЦИАЛЬНЫЙ БАНК (ООО Сибсоцбанк)</t>
  </si>
  <si>
    <t xml:space="preserve">Финсервис (АО)</t>
  </si>
  <si>
    <t xml:space="preserve">Центр-инвест (ПАО КБ)</t>
  </si>
  <si>
    <t xml:space="preserve">Национальная Фабрика Ипотеки (НФИ) только переход</t>
  </si>
  <si>
    <t xml:space="preserve">Кубань Кредит</t>
  </si>
  <si>
    <t xml:space="preserve">Татсоцбанк</t>
  </si>
  <si>
    <t xml:space="preserve">Оренбург</t>
  </si>
  <si>
    <t xml:space="preserve">НС банк</t>
  </si>
  <si>
    <t xml:space="preserve">Первый Клиентский Банк</t>
  </si>
  <si>
    <t xml:space="preserve">СимплФинанс</t>
  </si>
  <si>
    <t xml:space="preserve">ПКБ-ЭкспертФин</t>
  </si>
  <si>
    <t xml:space="preserve">Столичная сберегательная компания</t>
  </si>
  <si>
    <t xml:space="preserve">Банк ИПБ (Интерпрогресс)</t>
  </si>
  <si>
    <t xml:space="preserve">Яндекс</t>
  </si>
  <si>
    <t xml:space="preserve">Свой Банк</t>
  </si>
  <si>
    <t xml:space="preserve">ДрайвКликБанк</t>
  </si>
  <si>
    <t xml:space="preserve">АО "ОТП банк"</t>
  </si>
  <si>
    <t xml:space="preserve">АО "Мираф-банк"</t>
  </si>
  <si>
    <t xml:space="preserve">ББР Банк (АО)</t>
  </si>
  <si>
    <t xml:space="preserve">АО Толяттихимбанк</t>
  </si>
  <si>
    <t xml:space="preserve">Гринфинанс</t>
  </si>
  <si>
    <t xml:space="preserve">ООО "ФинансПрф-Агент"</t>
  </si>
  <si>
    <t xml:space="preserve">ООО Банк Оранжевый</t>
  </si>
  <si>
    <t xml:space="preserve">ПАО "Уральский
банк реконструкции
и развития"</t>
  </si>
  <si>
    <t xml:space="preserve">пао акб "Приморье"</t>
  </si>
  <si>
    <t xml:space="preserve">Стройлесбанк</t>
  </si>
  <si>
    <t xml:space="preserve">СС</t>
  </si>
  <si>
    <t xml:space="preserve">Максимальные тарифы</t>
  </si>
  <si>
    <t xml:space="preserve">М</t>
  </si>
  <si>
    <t xml:space="preserve">Ж</t>
  </si>
  <si>
    <t xml:space="preserve">Прямой </t>
  </si>
  <si>
    <t xml:space="preserve">Ограничение на общую нагрузку</t>
  </si>
  <si>
    <t xml:space="preserve">Скидка</t>
  </si>
  <si>
    <t xml:space="preserve">20% от лучшей цены для сотрудников</t>
  </si>
  <si>
    <t xml:space="preserve">Прямой</t>
  </si>
  <si>
    <t xml:space="preserve">Через банк</t>
  </si>
  <si>
    <t xml:space="preserve">Сравниру*</t>
  </si>
  <si>
    <t xml:space="preserve">Финуслуги</t>
  </si>
  <si>
    <t xml:space="preserve">Банкиру</t>
  </si>
  <si>
    <t xml:space="preserve">КВ по нашей информации</t>
  </si>
  <si>
    <t xml:space="preserve">Сравни ру</t>
  </si>
  <si>
    <t xml:space="preserve">через их агентский канал</t>
  </si>
  <si>
    <t xml:space="preserve">Банки ру — информация об осаго и каско (500 000р в месяц)</t>
  </si>
  <si>
    <t xml:space="preserve">ПАО "Банк
"Санкт-Петербург"</t>
  </si>
  <si>
    <t xml:space="preserve">сбер</t>
  </si>
  <si>
    <t xml:space="preserve">РГС</t>
  </si>
  <si>
    <t xml:space="preserve">евроинс</t>
  </si>
  <si>
    <t xml:space="preserve">Согаз</t>
  </si>
  <si>
    <t xml:space="preserve">им</t>
  </si>
  <si>
    <t xml:space="preserve">ж</t>
  </si>
  <si>
    <t xml:space="preserve">райф</t>
  </si>
  <si>
    <t xml:space="preserve">ДомРФ</t>
  </si>
  <si>
    <t xml:space="preserve">согласие</t>
  </si>
  <si>
    <t xml:space="preserve">росбанк</t>
  </si>
  <si>
    <t xml:space="preserve">ренин</t>
  </si>
  <si>
    <t xml:space="preserve">альфа</t>
  </si>
  <si>
    <t xml:space="preserve">пари</t>
  </si>
  <si>
    <t xml:space="preserve">энерго</t>
  </si>
  <si>
    <t xml:space="preserve">Абсол</t>
  </si>
  <si>
    <t xml:space="preserve">Евро</t>
  </si>
  <si>
    <t xml:space="preserve">Юго</t>
  </si>
  <si>
    <t xml:space="preserve">Согл</t>
  </si>
  <si>
    <t xml:space="preserve">Пари</t>
  </si>
  <si>
    <t xml:space="preserve">Абсолю</t>
  </si>
  <si>
    <t xml:space="preserve">ПСБ</t>
  </si>
  <si>
    <t xml:space="preserve">евро</t>
  </si>
  <si>
    <t xml:space="preserve">энерг</t>
  </si>
  <si>
    <t xml:space="preserve">юг</t>
  </si>
  <si>
    <t xml:space="preserve">совком</t>
  </si>
  <si>
    <t xml:space="preserve">зетта</t>
  </si>
  <si>
    <t xml:space="preserve">Юни</t>
  </si>
  <si>
    <t xml:space="preserve">энер</t>
  </si>
  <si>
    <t xml:space="preserve">Рсхб</t>
  </si>
  <si>
    <t xml:space="preserve">акбарс</t>
  </si>
  <si>
    <t xml:space="preserve">абс</t>
  </si>
  <si>
    <t xml:space="preserve">Совком</t>
  </si>
  <si>
    <t xml:space="preserve">акб</t>
  </si>
  <si>
    <t xml:space="preserve">зетт</t>
  </si>
  <si>
    <t xml:space="preserve">юго</t>
  </si>
  <si>
    <t xml:space="preserve">зет</t>
  </si>
  <si>
    <t xml:space="preserve">согл</t>
  </si>
  <si>
    <t xml:space="preserve">Санкт-Петербург</t>
  </si>
  <si>
    <t xml:space="preserve">Акб</t>
  </si>
  <si>
    <t xml:space="preserve">Тбанк</t>
  </si>
  <si>
    <t xml:space="preserve">возраст</t>
  </si>
  <si>
    <t xml:space="preserve">мужчины</t>
  </si>
  <si>
    <t xml:space="preserve">женщины</t>
  </si>
  <si>
    <t xml:space="preserve">Возраст застрахованного лица, полных лет</t>
  </si>
  <si>
    <t xml:space="preserve">от 18 до 34 лет включительно</t>
  </si>
  <si>
    <t xml:space="preserve">начиная с 55 000 000</t>
  </si>
  <si>
    <t xml:space="preserve">1. Страховая сумма: свыше 7 млн при хорошем риске</t>
  </si>
  <si>
    <t xml:space="preserve">от 35 до 44 лет включительно</t>
  </si>
  <si>
    <t xml:space="preserve">начиная с 40 000 000</t>
  </si>
  <si>
    <t xml:space="preserve">2. Нагрузка: Общая нагрузка выше 55%, при этом она состоит из:</t>
  </si>
  <si>
    <t xml:space="preserve">от 45 до 54 лет включительно</t>
  </si>
  <si>
    <t xml:space="preserve">начиная с 35 000 000</t>
  </si>
  <si>
    <t xml:space="preserve">Партнерское КВ </t>
  </si>
  <si>
    <t xml:space="preserve">от 55 до 64 лет включительно</t>
  </si>
  <si>
    <t xml:space="preserve">начиная с 15 000 000</t>
  </si>
  <si>
    <t xml:space="preserve">РВД - 5% всегда</t>
  </si>
  <si>
    <t xml:space="preserve">от 65 лет и старше</t>
  </si>
  <si>
    <t xml:space="preserve">при любой сумме</t>
  </si>
  <si>
    <t xml:space="preserve">Прочее (прибыль)</t>
  </si>
  <si>
    <t xml:space="preserve">По сберу выше 65% (5% РВД + КВ  - 60%)</t>
  </si>
  <si>
    <t xml:space="preserve">3. Нестандарт (например, хроника/операции)</t>
  </si>
  <si>
    <t xml:space="preserve">4. Запрос терроризма более 3 млн.</t>
  </si>
  <si>
    <t xml:space="preserve">5. Деревянный дом</t>
  </si>
  <si>
    <t xml:space="preserve">6. Территория вне аппетита (Москва, СПб, Московская область, Ленинградская область)</t>
  </si>
  <si>
    <t xml:space="preserve">7. Возраст страхователей (от 18 до 60)</t>
  </si>
  <si>
    <t xml:space="preserve">8. Все запросы должны направляться в СБ на проверку страхователей по открытым источникам. СБ должна фиксировать проверку в трекере. При оценке на желтом или красном уровнях - направление на согласование в РГ.</t>
  </si>
  <si>
    <t xml:space="preserve">Если возраст молодой, то 40% попробовать тарифы.</t>
  </si>
  <si>
    <t xml:space="preserve">LoCker_12</t>
  </si>
  <si>
    <t xml:space="preserve">СА</t>
  </si>
  <si>
    <t xml:space="preserve">Старше 65 лет по НС, если первичный договор </t>
  </si>
  <si>
    <t xml:space="preserve">Продление договора</t>
  </si>
  <si>
    <t xml:space="preserve">Минимальный возраст застрахованного лица составляет 18 полных лет на дату начала страхования
Максимальный возраст застрахованного лица
а) Для рисков по страхованию от НСиБ, включающих риск заболевания, максимальный возраст застрахованного лица составляет:
-	81 год (полных лет) на дату окончания срока действия страхования
б) Для рисков по страхованию от НСиБ, не включающих риск заболевания, максимальный возраст застрахованного лица составляет:
-	86 полных лет на дату окончания срока действия страхования
Принятие в облигаторное перестрахование рисков выплаты страхового возмещения по договорам страхования, сострахования в отношении застрахованных лиц, возраст которых на момент окончания срока основного договора страхования превышает указанный в п. а) и п. б) соответствующий возрастной предел, осуществляется на основании специального акцепта АО РНПК.</t>
  </si>
  <si>
    <t xml:space="preserve">Перестрахование риска выплаты страхового возмещения по договорам сострахования осуществляется на основании специального акцепта перестраховщика, только если общая страховая сумма по договору сострахования  с учетом всех застрахованных рисков равна либо превышает 500 млн. рублей.</t>
  </si>
  <si>
    <t xml:space="preserve">Если общая страховая сумма по договору сострахования составляет менее 500 млн. рублей, такие риски включаются в объем ответственности перестраховщика (объем перестрахования) по договору облигаторного перестрахования автоматически, то есть специальный акцепт в таких случаях по данному основанию не требуется.</t>
  </si>
  <si>
    <t xml:space="preserve">Специальный акцепт по договорам сострахования в зависимости от размера страховой суммы (по договорам коллективного страхования)
Перестрахование риска выплаты страхового возмещения по договорам сострахования осуществляется на основании специального акцепта перестраховщика, только если общая страховая сумма по договору сострахования с учетом всех застрахованных рисков по одному застрахованному лицу равна либо превышает 250 млн. рублей.</t>
  </si>
</sst>
</file>

<file path=xl/styles.xml><?xml version="1.0" encoding="utf-8"?>
<styleSheet xmlns="http://schemas.openxmlformats.org/spreadsheetml/2006/main">
  <numFmts count="12">
    <numFmt numFmtId="164" formatCode="General"/>
    <numFmt numFmtId="165" formatCode="dd/mm/yy"/>
    <numFmt numFmtId="166" formatCode="#,##0"/>
    <numFmt numFmtId="167" formatCode="#,##0.00"/>
    <numFmt numFmtId="168" formatCode="General"/>
    <numFmt numFmtId="169" formatCode="0.00%"/>
    <numFmt numFmtId="170" formatCode="0.00000%"/>
    <numFmt numFmtId="171" formatCode="0.000%"/>
    <numFmt numFmtId="172" formatCode="0.0000%"/>
    <numFmt numFmtId="173" formatCode="#,##0.00&quot;р.&quot;"/>
    <numFmt numFmtId="174" formatCode="@"/>
    <numFmt numFmtId="175" formatCode="0.0000"/>
  </numFmts>
  <fonts count="24">
    <font>
      <sz val="10"/>
      <name val="Arial"/>
      <family val="2"/>
      <charset val="1"/>
    </font>
    <font>
      <sz val="10"/>
      <name val="Arial"/>
      <family val="0"/>
      <charset val="204"/>
    </font>
    <font>
      <sz val="10"/>
      <name val="Arial"/>
      <family val="0"/>
      <charset val="204"/>
    </font>
    <font>
      <sz val="10"/>
      <name val="Arial"/>
      <family val="0"/>
      <charset val="204"/>
    </font>
    <font>
      <sz val="10"/>
      <color rgb="FFFFFFFF"/>
      <name val="Arial"/>
      <family val="2"/>
      <charset val="1"/>
    </font>
    <font>
      <b val="true"/>
      <sz val="10"/>
      <color rgb="FF000000"/>
      <name val="Calibri"/>
      <family val="2"/>
      <charset val="1"/>
    </font>
    <font>
      <sz val="10"/>
      <color rgb="FF000000"/>
      <name val="Times New Roman"/>
      <family val="1"/>
      <charset val="1"/>
    </font>
    <font>
      <b val="true"/>
      <sz val="10"/>
      <color rgb="FF000000"/>
      <name val="Arial"/>
      <family val="2"/>
      <charset val="1"/>
    </font>
    <font>
      <b val="true"/>
      <sz val="10"/>
      <name val="Calibri"/>
      <family val="2"/>
      <charset val="1"/>
    </font>
    <font>
      <sz val="10"/>
      <color rgb="FFFF0000"/>
      <name val="Arial"/>
      <family val="2"/>
      <charset val="1"/>
    </font>
    <font>
      <b val="true"/>
      <i val="true"/>
      <sz val="10"/>
      <color rgb="FFFF0000"/>
      <name val="Calibri"/>
      <family val="2"/>
      <charset val="1"/>
    </font>
    <font>
      <b val="true"/>
      <sz val="10"/>
      <color rgb="FFFF0000"/>
      <name val="Arial"/>
      <family val="2"/>
      <charset val="1"/>
    </font>
    <font>
      <b val="true"/>
      <sz val="10"/>
      <color rgb="FFFF0000"/>
      <name val="Calibri"/>
      <family val="2"/>
      <charset val="1"/>
    </font>
    <font>
      <b val="true"/>
      <sz val="10"/>
      <color rgb="FF800080"/>
      <name val="Calibri"/>
      <family val="2"/>
      <charset val="1"/>
    </font>
    <font>
      <sz val="10"/>
      <name val="Calibri"/>
      <family val="2"/>
      <charset val="1"/>
    </font>
    <font>
      <b val="true"/>
      <sz val="10"/>
      <color rgb="FFF10D0C"/>
      <name val="Calibri"/>
      <family val="2"/>
      <charset val="1"/>
    </font>
    <font>
      <b val="true"/>
      <sz val="10"/>
      <name val="Arial"/>
      <family val="2"/>
      <charset val="1"/>
    </font>
    <font>
      <sz val="10"/>
      <name val="Liberation Serif;Times New Roman"/>
      <family val="1"/>
      <charset val="1"/>
    </font>
    <font>
      <b val="true"/>
      <sz val="12"/>
      <name val="PT Astra Serif"/>
      <family val="1"/>
      <charset val="1"/>
    </font>
    <font>
      <sz val="12"/>
      <name val="PT Astra Serif"/>
      <family val="1"/>
      <charset val="1"/>
    </font>
    <font>
      <sz val="11"/>
      <color rgb="FF000000"/>
      <name val="Calibri"/>
      <family val="2"/>
      <charset val="1"/>
    </font>
    <font>
      <b val="true"/>
      <sz val="7"/>
      <color rgb="FF000000"/>
      <name val="Arial"/>
      <family val="2"/>
      <charset val="1"/>
    </font>
    <font>
      <sz val="7"/>
      <color rgb="FF000000"/>
      <name val="Arial"/>
      <family val="2"/>
      <charset val="1"/>
    </font>
    <font>
      <sz val="12"/>
      <name val="Arial"/>
      <family val="2"/>
      <charset val="1"/>
    </font>
  </fonts>
  <fills count="16">
    <fill>
      <patternFill patternType="none"/>
    </fill>
    <fill>
      <patternFill patternType="gray125"/>
    </fill>
    <fill>
      <patternFill patternType="solid">
        <fgColor rgb="FFCCFFCC"/>
        <bgColor rgb="FFCCFFFF"/>
      </patternFill>
    </fill>
    <fill>
      <patternFill patternType="solid">
        <fgColor rgb="FFCC99FF"/>
        <bgColor rgb="FF9999FF"/>
      </patternFill>
    </fill>
    <fill>
      <patternFill patternType="solid">
        <fgColor rgb="FFCCFFFF"/>
        <bgColor rgb="FFCCFFCC"/>
      </patternFill>
    </fill>
    <fill>
      <patternFill patternType="solid">
        <fgColor rgb="FFCCCCCC"/>
        <bgColor rgb="FFBFBFBF"/>
      </patternFill>
    </fill>
    <fill>
      <patternFill patternType="solid">
        <fgColor rgb="FFBFBFBF"/>
        <bgColor rgb="FFCCCCCC"/>
      </patternFill>
    </fill>
    <fill>
      <patternFill patternType="solid">
        <fgColor rgb="FFFFFFD7"/>
        <bgColor rgb="FFFFFFFF"/>
      </patternFill>
    </fill>
    <fill>
      <patternFill patternType="solid">
        <fgColor rgb="FFE0C2CD"/>
        <bgColor rgb="FFCCCCCC"/>
      </patternFill>
    </fill>
    <fill>
      <patternFill patternType="solid">
        <fgColor rgb="FFFFE994"/>
        <bgColor rgb="FFFFD7D7"/>
      </patternFill>
    </fill>
    <fill>
      <patternFill patternType="solid">
        <fgColor rgb="FFB8CCE4"/>
        <bgColor rgb="FFBDD6EE"/>
      </patternFill>
    </fill>
    <fill>
      <patternFill patternType="solid">
        <fgColor rgb="FFBDD6EE"/>
        <bgColor rgb="FFB8CCE4"/>
      </patternFill>
    </fill>
    <fill>
      <patternFill patternType="solid">
        <fgColor rgb="FFFFFFFF"/>
        <bgColor rgb="FFFFFFD7"/>
      </patternFill>
    </fill>
    <fill>
      <patternFill patternType="solid">
        <fgColor rgb="FFFFFF00"/>
        <bgColor rgb="FFFFFF00"/>
      </patternFill>
    </fill>
    <fill>
      <patternFill patternType="solid">
        <fgColor rgb="FFFF4000"/>
        <bgColor rgb="FFF10D0C"/>
      </patternFill>
    </fill>
    <fill>
      <patternFill patternType="solid">
        <fgColor rgb="FFFFD7D7"/>
        <bgColor rgb="FFE0C2CD"/>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 diagonalUp="false" diagonalDown="false">
      <left/>
      <right style="thin"/>
      <top/>
      <bottom style="thin"/>
      <diagonal/>
    </border>
    <border diagonalUp="false" diagonalDown="false">
      <left/>
      <right/>
      <top/>
      <bottom style="thin"/>
      <diagonal/>
    </border>
    <border diagonalUp="false" diagonalDown="false">
      <left style="hair"/>
      <right style="hair"/>
      <top style="hair"/>
      <bottom style="hair"/>
      <diagonal/>
    </border>
    <border diagonalUp="false" diagonalDown="false">
      <left/>
      <right style="hair"/>
      <top style="hair"/>
      <bottom style="hair"/>
      <diagonal/>
    </border>
    <border diagonalUp="false" diagonalDown="false">
      <left style="hair"/>
      <right style="hair"/>
      <top/>
      <bottom style="hair"/>
      <diagonal/>
    </border>
    <border diagonalUp="false" diagonalDown="false">
      <left/>
      <right style="hair"/>
      <top/>
      <bottom style="hair"/>
      <diagonal/>
    </border>
    <border diagonalUp="false" diagonalDown="false">
      <left style="hair"/>
      <right style="hair"/>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fals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5" fontId="8" fillId="4" borderId="1"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6" fontId="8"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8" fillId="4" borderId="1" xfId="0" applyFont="true" applyBorder="tru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center"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9" fontId="0" fillId="0" borderId="0" xfId="0" applyFont="false" applyBorder="false" applyAlignment="true" applyProtection="true">
      <alignment horizontal="center"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9" fontId="8" fillId="4" borderId="1" xfId="0" applyFont="true" applyBorder="true" applyAlignment="true" applyProtection="true">
      <alignment horizontal="right" vertical="bottom" textRotation="0" wrapText="fals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7" fontId="8" fillId="4" borderId="1" xfId="0" applyFont="true" applyBorder="true" applyAlignment="true" applyProtection="true">
      <alignment horizontal="right"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71" fontId="8" fillId="0" borderId="1" xfId="0" applyFont="true" applyBorder="true" applyAlignment="true" applyProtection="true">
      <alignment horizontal="right" vertical="bottom" textRotation="0" wrapText="false" indent="0" shrinkToFit="false"/>
      <protection locked="true" hidden="false"/>
    </xf>
    <xf numFmtId="167" fontId="8" fillId="0" borderId="1" xfId="0" applyFont="true" applyBorder="true" applyAlignment="true" applyProtection="true">
      <alignment horizontal="right" vertical="bottom" textRotation="0" wrapText="false" indent="0" shrinkToFit="false"/>
      <protection locked="true" hidden="false"/>
    </xf>
    <xf numFmtId="170" fontId="13" fillId="0" borderId="1" xfId="0" applyFont="true" applyBorder="true" applyAlignment="true" applyProtection="true">
      <alignment horizontal="right" vertical="bottom" textRotation="0" wrapText="fals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right" vertical="bottom" textRotation="0" wrapText="false" indent="0" shrinkToFit="false"/>
      <protection locked="true" hidden="false"/>
    </xf>
    <xf numFmtId="172" fontId="0" fillId="0" borderId="0" xfId="0" applyFont="false" applyBorder="false" applyAlignment="true" applyProtection="true">
      <alignment horizontal="right" vertical="bottom" textRotation="0" wrapText="false" indent="0" shrinkToFit="false"/>
      <protection locked="true" hidden="false"/>
    </xf>
    <xf numFmtId="167" fontId="13" fillId="0" borderId="1" xfId="0" applyFont="true" applyBorder="true" applyAlignment="true" applyProtection="true">
      <alignment horizontal="right"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right"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right" vertical="bottom" textRotation="0" wrapText="false" indent="0" shrinkToFit="false"/>
      <protection locked="true" hidden="false"/>
    </xf>
    <xf numFmtId="164" fontId="5" fillId="5" borderId="1" xfId="0" applyFont="true" applyBorder="true" applyAlignment="true" applyProtection="true">
      <alignment horizontal="center" vertical="center" textRotation="0" wrapText="true" indent="0" shrinkToFit="false"/>
      <protection locked="true" hidden="false"/>
    </xf>
    <xf numFmtId="173" fontId="13" fillId="5" borderId="1" xfId="0" applyFont="true" applyBorder="true" applyAlignment="true" applyProtection="true">
      <alignment horizontal="right"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center" vertical="center" textRotation="0" wrapText="false" indent="0" shrinkToFit="false"/>
      <protection locked="true" hidden="false"/>
    </xf>
    <xf numFmtId="167" fontId="8" fillId="0" borderId="1" xfId="0" applyFont="true" applyBorder="true" applyAlignment="true" applyProtection="true">
      <alignment horizontal="center" vertical="center" textRotation="0" wrapText="false" indent="0" shrinkToFit="false"/>
      <protection locked="true" hidden="false"/>
    </xf>
    <xf numFmtId="171" fontId="8" fillId="4" borderId="1" xfId="0" applyFont="true" applyBorder="true" applyAlignment="true" applyProtection="true">
      <alignment horizontal="center" vertical="center" textRotation="0" wrapText="false" indent="0" shrinkToFit="false"/>
      <protection locked="true" hidden="false"/>
    </xf>
    <xf numFmtId="167" fontId="14" fillId="0" borderId="1" xfId="0" applyFont="true" applyBorder="true" applyAlignment="true" applyProtection="true">
      <alignment horizontal="center" vertical="center" textRotation="0" wrapText="false" indent="0" shrinkToFit="false"/>
      <protection locked="true" hidden="false"/>
    </xf>
    <xf numFmtId="169" fontId="8" fillId="4" borderId="1" xfId="0" applyFont="true" applyBorder="true" applyAlignment="true" applyProtection="true">
      <alignment horizontal="center" vertical="center" textRotation="0" wrapText="false" indent="0" shrinkToFit="false"/>
      <protection locked="true" hidden="false"/>
    </xf>
    <xf numFmtId="170" fontId="5" fillId="0" borderId="1" xfId="0" applyFont="true" applyBorder="true" applyAlignment="true" applyProtection="true">
      <alignment horizontal="right" vertical="bottom" textRotation="0" wrapText="false" indent="0" shrinkToFit="false"/>
      <protection locked="true" hidden="false"/>
    </xf>
    <xf numFmtId="167" fontId="5" fillId="0" borderId="1" xfId="0" applyFont="true" applyBorder="true" applyAlignment="true" applyProtection="true">
      <alignment horizontal="right" vertical="bottom" textRotation="0" wrapText="false" indent="0" shrinkToFit="false"/>
      <protection locked="true" hidden="false"/>
    </xf>
    <xf numFmtId="167" fontId="13" fillId="5" borderId="1" xfId="0" applyFont="true" applyBorder="true" applyAlignment="true" applyProtection="true">
      <alignment horizontal="center" vertical="center" textRotation="0" wrapText="false" indent="0" shrinkToFit="false"/>
      <protection locked="true" hidden="false"/>
    </xf>
    <xf numFmtId="171" fontId="8" fillId="4" borderId="1" xfId="0" applyFont="true" applyBorder="true" applyAlignment="true" applyProtection="true">
      <alignment horizontal="right" vertical="bottom" textRotation="0" wrapText="false" indent="0" shrinkToFit="false"/>
      <protection locked="true" hidden="false"/>
    </xf>
    <xf numFmtId="168" fontId="6" fillId="0" borderId="1" xfId="0" applyFont="true" applyBorder="true" applyAlignment="true" applyProtection="true">
      <alignment horizontal="center" vertical="center" textRotation="0" wrapText="false" indent="0" shrinkToFit="false"/>
      <protection locked="true" hidden="false"/>
    </xf>
    <xf numFmtId="170" fontId="13" fillId="0" borderId="1" xfId="0" applyFont="true" applyBorder="true" applyAlignment="true" applyProtection="true">
      <alignment horizontal="general" vertical="bottom" textRotation="0" wrapText="false" indent="0" shrinkToFit="false"/>
      <protection locked="true" hidden="false"/>
    </xf>
    <xf numFmtId="173" fontId="13" fillId="0" borderId="1" xfId="0" applyFont="true" applyBorder="true" applyAlignment="true" applyProtection="true">
      <alignment horizontal="right" vertical="bottom" textRotation="0" wrapText="false" indent="0" shrinkToFit="false"/>
      <protection locked="true" hidden="false"/>
    </xf>
    <xf numFmtId="169" fontId="5" fillId="2" borderId="1" xfId="0" applyFont="true" applyBorder="true" applyAlignment="true" applyProtection="true">
      <alignment horizontal="center" vertical="center"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8" fontId="15" fillId="2" borderId="1" xfId="0" applyFont="true" applyBorder="true" applyAlignment="true" applyProtection="true">
      <alignment horizontal="center" vertical="center" textRotation="0" wrapText="false" indent="0" shrinkToFit="false"/>
      <protection locked="true" hidden="false"/>
    </xf>
    <xf numFmtId="164" fontId="15" fillId="2" borderId="1" xfId="0" applyFont="true" applyBorder="true" applyAlignment="true" applyProtection="true">
      <alignment horizontal="center" vertical="center" textRotation="0" wrapText="true" indent="0" shrinkToFit="false"/>
      <protection locked="true" hidden="false"/>
    </xf>
    <xf numFmtId="167" fontId="16" fillId="0" borderId="1" xfId="0" applyFont="true" applyBorder="tru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7" fillId="6" borderId="5" xfId="0" applyFont="true" applyBorder="true" applyAlignment="true" applyProtection="true">
      <alignment horizontal="center" vertical="bottom" textRotation="0" wrapText="false" indent="0" shrinkToFit="false"/>
      <protection locked="true" hidden="false"/>
    </xf>
    <xf numFmtId="164" fontId="17" fillId="6"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true" indent="0" shrinkToFit="false"/>
      <protection locked="true" hidden="false"/>
    </xf>
    <xf numFmtId="164" fontId="17" fillId="0" borderId="5" xfId="0" applyFont="true" applyBorder="true" applyAlignment="true" applyProtection="true">
      <alignment horizontal="right" vertical="bottom" textRotation="0" wrapText="false" indent="0" shrinkToFit="false"/>
      <protection locked="true" hidden="false"/>
    </xf>
    <xf numFmtId="164" fontId="17" fillId="0" borderId="6" xfId="0" applyFont="true" applyBorder="true" applyAlignment="true" applyProtection="true">
      <alignment horizontal="right" vertical="bottom" textRotation="0" wrapText="false" indent="0" shrinkToFit="false"/>
      <protection locked="true" hidden="false"/>
    </xf>
    <xf numFmtId="164" fontId="17" fillId="0" borderId="7" xfId="0" applyFont="true" applyBorder="true" applyAlignment="true" applyProtection="true">
      <alignment horizontal="right" vertical="bottom" textRotation="0" wrapText="false" indent="0" shrinkToFit="false"/>
      <protection locked="true" hidden="false"/>
    </xf>
    <xf numFmtId="164" fontId="17" fillId="0" borderId="8" xfId="0" applyFont="true" applyBorder="true" applyAlignment="true" applyProtection="true">
      <alignment horizontal="right"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8"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20" fillId="10" borderId="5" xfId="0" applyFont="true" applyBorder="true" applyAlignment="true" applyProtection="true">
      <alignment horizontal="center" vertical="bottom" textRotation="0" wrapText="false" indent="0" shrinkToFit="false"/>
      <protection locked="true" hidden="false"/>
    </xf>
    <xf numFmtId="164" fontId="20" fillId="10" borderId="5"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10" borderId="5"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center" vertical="bottom" textRotation="0" wrapText="false" indent="0" shrinkToFit="false"/>
      <protection locked="true" hidden="false"/>
    </xf>
    <xf numFmtId="169" fontId="0" fillId="0" borderId="5" xfId="0" applyFont="false" applyBorder="true" applyAlignment="true" applyProtection="true">
      <alignment horizontal="center" vertical="bottom" textRotation="0" wrapText="false" indent="0" shrinkToFit="false"/>
      <protection locked="true" hidden="false"/>
    </xf>
    <xf numFmtId="171" fontId="0" fillId="0" borderId="5"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17" fillId="0" borderId="9" xfId="0" applyFont="true" applyBorder="true" applyAlignment="true" applyProtection="true">
      <alignment horizontal="right" vertical="bottom" textRotation="0" wrapText="false" indent="0" shrinkToFit="false"/>
      <protection locked="true" hidden="false"/>
    </xf>
    <xf numFmtId="169" fontId="0" fillId="0" borderId="0" xfId="0" applyFont="false" applyBorder="false" applyAlignment="true" applyProtection="true">
      <alignment horizontal="left" vertical="bottom" textRotation="0" wrapText="false" indent="0" shrinkToFit="false"/>
      <protection locked="true" hidden="false"/>
    </xf>
    <xf numFmtId="164" fontId="20" fillId="0" borderId="5" xfId="0" applyFont="true" applyBorder="true" applyAlignment="true" applyProtection="true">
      <alignment horizontal="justify" vertical="bottom" textRotation="0" wrapText="false" indent="0" shrinkToFit="false"/>
      <protection locked="true" hidden="false"/>
    </xf>
    <xf numFmtId="164" fontId="0" fillId="0" borderId="5" xfId="0" applyFont="false" applyBorder="true" applyAlignment="true" applyProtection="true">
      <alignment horizontal="left" vertical="bottom" textRotation="0" wrapText="false" indent="0" shrinkToFit="false"/>
      <protection locked="true" hidden="false"/>
    </xf>
    <xf numFmtId="164" fontId="20" fillId="11" borderId="5" xfId="0" applyFont="true" applyBorder="true" applyAlignment="true" applyProtection="true">
      <alignment horizontal="center" vertical="bottom" textRotation="0" wrapText="false" indent="0" shrinkToFit="false"/>
      <protection locked="true" hidden="false"/>
    </xf>
    <xf numFmtId="164" fontId="20" fillId="11" borderId="5" xfId="0" applyFont="true" applyBorder="true" applyAlignment="true" applyProtection="true">
      <alignment horizontal="left" vertical="bottom" textRotation="0" wrapText="false" indent="0" shrinkToFit="false"/>
      <protection locked="true" hidden="false"/>
    </xf>
    <xf numFmtId="164" fontId="0" fillId="12" borderId="5" xfId="0" applyFont="true" applyBorder="true" applyAlignment="true" applyProtection="true">
      <alignment horizontal="justify"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6" fillId="0" borderId="1" xfId="0" applyFont="true" applyBorder="true" applyAlignment="true" applyProtection="true">
      <alignment horizontal="general" vertical="bottom"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fals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74" fontId="0" fillId="0" borderId="0" xfId="0" applyFont="true" applyBorder="false" applyAlignment="true" applyProtection="true">
      <alignment horizontal="right" vertical="bottom" textRotation="0" wrapText="false" indent="0" shrinkToFit="false"/>
      <protection locked="true" hidden="false"/>
    </xf>
    <xf numFmtId="17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true" applyAlignment="true" applyProtection="true">
      <alignment horizontal="left" vertical="top" textRotation="0" wrapText="true" indent="0" shrinkToFit="false"/>
      <protection locked="true" hidden="false"/>
    </xf>
    <xf numFmtId="167" fontId="0" fillId="13" borderId="0" xfId="0" applyFont="false" applyBorder="false" applyAlignment="true" applyProtection="true">
      <alignment horizontal="general" vertical="bottom" textRotation="0" wrapText="false" indent="0" shrinkToFit="false"/>
      <protection locked="true" hidden="false"/>
    </xf>
    <xf numFmtId="167" fontId="0" fillId="14" borderId="0" xfId="0" applyFont="false" applyBorder="false" applyAlignment="true" applyProtection="true">
      <alignment horizontal="general" vertical="bottom" textRotation="0" wrapText="false" indent="0" shrinkToFit="false"/>
      <protection locked="true" hidden="false"/>
    </xf>
    <xf numFmtId="164" fontId="16"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true" applyBorder="true" applyAlignment="true" applyProtection="true">
      <alignment horizontal="center" vertical="center" textRotation="0" wrapText="false" indent="0" shrinkToFit="false"/>
      <protection locked="true" hidden="false"/>
    </xf>
    <xf numFmtId="164" fontId="0" fillId="15"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right" vertical="bottom" textRotation="0" wrapText="true" indent="0" shrinkToFit="false"/>
      <protection locked="true" hidden="false"/>
    </xf>
    <xf numFmtId="175" fontId="22" fillId="0" borderId="0" xfId="0" applyFont="true" applyBorder="false" applyAlignment="true" applyProtection="true">
      <alignment horizontal="righ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Без имени1" xfId="20"/>
    <cellStyle name="Без имени2" xfId="21"/>
    <cellStyle name="Без имени3" xfId="22"/>
  </cellStyles>
  <dxfs count="3">
    <dxf>
      <font>
        <name val="Arial"/>
        <charset val="1"/>
        <family val="2"/>
        <color rgb="FF0000EE"/>
        <u val="single"/>
      </font>
    </dxf>
    <dxf>
      <font>
        <name val="Arial"/>
        <charset val="1"/>
        <family val="2"/>
        <color rgb="FFCC0000"/>
      </font>
    </dxf>
    <dxf>
      <fill>
        <patternFill patternType="solid">
          <fgColor rgb="00FFFFFF"/>
        </patternFill>
      </fill>
    </dxf>
  </dxfs>
  <colors>
    <indexedColors>
      <rgbColor rgb="FF000000"/>
      <rgbColor rgb="FFFFFFFF"/>
      <rgbColor rgb="FFFF0000"/>
      <rgbColor rgb="FF00FF00"/>
      <rgbColor rgb="FF0000EE"/>
      <rgbColor rgb="FFFFFF00"/>
      <rgbColor rgb="FFFF00FF"/>
      <rgbColor rgb="FF00FFFF"/>
      <rgbColor rgb="FFCC0000"/>
      <rgbColor rgb="FF008000"/>
      <rgbColor rgb="FF000080"/>
      <rgbColor rgb="FF808000"/>
      <rgbColor rgb="FF800080"/>
      <rgbColor rgb="FF008080"/>
      <rgbColor rgb="FFBFBFBF"/>
      <rgbColor rgb="FF808080"/>
      <rgbColor rgb="FF9999FF"/>
      <rgbColor rgb="FF993366"/>
      <rgbColor rgb="FFFFFFD7"/>
      <rgbColor rgb="FFCCFFFF"/>
      <rgbColor rgb="FF660066"/>
      <rgbColor rgb="FFFF8080"/>
      <rgbColor rgb="FF0066CC"/>
      <rgbColor rgb="FFBDD6EE"/>
      <rgbColor rgb="FF000080"/>
      <rgbColor rgb="FFFF00FF"/>
      <rgbColor rgb="FFFFFF00"/>
      <rgbColor rgb="FF00FFFF"/>
      <rgbColor rgb="FF800080"/>
      <rgbColor rgb="FF800000"/>
      <rgbColor rgb="FF008080"/>
      <rgbColor rgb="FF0000FF"/>
      <rgbColor rgb="FF00CCFF"/>
      <rgbColor rgb="FFCCCCCC"/>
      <rgbColor rgb="FFCCFFCC"/>
      <rgbColor rgb="FFFFE994"/>
      <rgbColor rgb="FFB8CCE4"/>
      <rgbColor rgb="FFE0C2CD"/>
      <rgbColor rgb="FFCC99FF"/>
      <rgbColor rgb="FFFFD7D7"/>
      <rgbColor rgb="FF3366FF"/>
      <rgbColor rgb="FF33CCCC"/>
      <rgbColor rgb="FF99CC00"/>
      <rgbColor rgb="FFFFCC00"/>
      <rgbColor rgb="FFFF9900"/>
      <rgbColor rgb="FFFF4000"/>
      <rgbColor rgb="FF666699"/>
      <rgbColor rgb="FF969696"/>
      <rgbColor rgb="FF003366"/>
      <rgbColor rgb="FF339966"/>
      <rgbColor rgb="FF003300"/>
      <rgbColor rgb="FF333300"/>
      <rgbColor rgb="FFF10D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9"/>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D10" activeCellId="0" sqref="D10"/>
    </sheetView>
  </sheetViews>
  <sheetFormatPr defaultColWidth="11.53515625" defaultRowHeight="12.8" zeroHeight="false" outlineLevelRow="1" outlineLevelCol="1"/>
  <cols>
    <col collapsed="false" customWidth="true" hidden="false" outlineLevel="0" max="2" min="2" style="1" width="48.9"/>
    <col collapsed="false" customWidth="true" hidden="false" outlineLevel="0" max="3" min="3" style="1" width="21.1"/>
    <col collapsed="false" customWidth="true" hidden="false" outlineLevel="0" max="4" min="4" style="1" width="20.49"/>
    <col collapsed="false" customWidth="true" hidden="false" outlineLevel="0" max="5" min="5" style="2" width="11.82"/>
    <col collapsed="false" customWidth="true" hidden="false" outlineLevel="0" max="6" min="6" style="2" width="14.72"/>
    <col collapsed="false" customWidth="true" hidden="false" outlineLevel="1" max="7" min="7" style="2" width="12.98"/>
    <col collapsed="false" customWidth="true" hidden="false" outlineLevel="1" max="8" min="8" style="1" width="12.42"/>
    <col collapsed="false" customWidth="true" hidden="false" outlineLevel="1" max="10" min="9" style="1" width="10.66"/>
    <col collapsed="false" customWidth="false" hidden="false" outlineLevel="1" max="12" min="11" style="1" width="11.53"/>
    <col collapsed="false" customWidth="true" hidden="false" outlineLevel="1" max="13" min="13" style="1" width="11.7"/>
    <col collapsed="false" customWidth="true" hidden="false" outlineLevel="1" max="14" min="14" style="1" width="10.66"/>
    <col collapsed="false" customWidth="true" hidden="false" outlineLevel="1" max="15" min="15" style="1" width="14.52"/>
    <col collapsed="false" customWidth="true" hidden="false" outlineLevel="0" max="16" min="16" style="1" width="14.52"/>
    <col collapsed="false" customWidth="true" hidden="false" outlineLevel="0" max="19" min="19" style="1" width="12.1"/>
    <col collapsed="false" customWidth="true" hidden="false" outlineLevel="0" max="22" min="22" style="1" width="39.93"/>
  </cols>
  <sheetData>
    <row r="1" customFormat="false" ht="24.85" hidden="false" customHeight="true" outlineLevel="0" collapsed="false">
      <c r="B1" s="3" t="s">
        <v>0</v>
      </c>
      <c r="C1" s="4" t="s">
        <v>1</v>
      </c>
      <c r="D1" s="4"/>
    </row>
    <row r="3" customFormat="false" ht="12.8" hidden="false" customHeight="false" outlineLevel="0" collapsed="false">
      <c r="B3" s="5" t="s">
        <v>2</v>
      </c>
      <c r="C3" s="5"/>
    </row>
    <row r="5" customFormat="false" ht="14.65" hidden="false" customHeight="true" outlineLevel="0" collapsed="false">
      <c r="B5" s="5" t="s">
        <v>3</v>
      </c>
      <c r="C5" s="5"/>
      <c r="P5" s="6"/>
      <c r="Q5" s="6"/>
      <c r="R5" s="6"/>
      <c r="S5" s="6"/>
      <c r="T5" s="6"/>
      <c r="U5" s="6"/>
      <c r="V5" s="6"/>
    </row>
    <row r="6" customFormat="false" ht="14.65" hidden="false" customHeight="true" outlineLevel="0" collapsed="false">
      <c r="B6" s="7" t="s">
        <v>4</v>
      </c>
      <c r="C6" s="8" t="n">
        <v>25003</v>
      </c>
      <c r="D6" s="9" t="str">
        <f aca="true">IF(ORG.OPENOFFICE.YEARS(C6,TODAY(),0)&gt;60,"СОГЛАСОВАНИЕ РГ","")</f>
        <v/>
      </c>
      <c r="E6" s="2" t="s">
        <v>5</v>
      </c>
      <c r="F6" s="10" t="s">
        <v>6</v>
      </c>
      <c r="P6" s="6"/>
      <c r="Q6" s="6"/>
      <c r="R6" s="6"/>
      <c r="S6" s="6"/>
      <c r="T6" s="6"/>
      <c r="U6" s="6"/>
      <c r="V6" s="6"/>
    </row>
    <row r="7" customFormat="false" ht="14.65" hidden="false" customHeight="true" outlineLevel="0" collapsed="false">
      <c r="B7" s="3" t="s">
        <v>7</v>
      </c>
      <c r="C7" s="11" t="n">
        <f aca="true">ORG.OPENOFFICE.YEARS(C6,TODAY(),0)</f>
        <v>58</v>
      </c>
      <c r="D7" s="9"/>
      <c r="F7" s="12"/>
      <c r="P7" s="6"/>
      <c r="Q7" s="6"/>
      <c r="R7" s="6"/>
      <c r="S7" s="6"/>
      <c r="T7" s="6"/>
      <c r="U7" s="6"/>
      <c r="V7" s="6"/>
    </row>
    <row r="8" customFormat="false" ht="12.8" hidden="false" customHeight="false" outlineLevel="0" collapsed="false">
      <c r="B8" s="3" t="s">
        <v>7</v>
      </c>
      <c r="C8" s="13" t="str">
        <f aca="true">VLOOKUP(ORG.OPENOFFICE.YEARS(C6,TODAY(),0),КИС!B17:E34,3,1)</f>
        <v>56-58</v>
      </c>
      <c r="F8" s="12"/>
      <c r="L8" s="14"/>
      <c r="P8" s="6"/>
      <c r="Q8" s="6"/>
      <c r="R8" s="6"/>
      <c r="S8" s="6"/>
      <c r="T8" s="6"/>
      <c r="U8" s="6"/>
      <c r="V8" s="6"/>
    </row>
    <row r="9" customFormat="false" ht="12.8" hidden="false" customHeight="false" outlineLevel="0" collapsed="false">
      <c r="B9" s="3" t="s">
        <v>8</v>
      </c>
      <c r="C9" s="15" t="s">
        <v>9</v>
      </c>
      <c r="E9" s="2" t="s">
        <v>5</v>
      </c>
      <c r="F9" s="10" t="s">
        <v>10</v>
      </c>
      <c r="P9" s="6"/>
      <c r="Q9" s="6"/>
      <c r="R9" s="6"/>
      <c r="S9" s="6"/>
      <c r="T9" s="6"/>
      <c r="U9" s="6"/>
      <c r="V9" s="6"/>
    </row>
    <row r="10" customFormat="false" ht="12.8" hidden="false" customHeight="false" outlineLevel="0" collapsed="false">
      <c r="B10" s="3" t="s">
        <v>11</v>
      </c>
      <c r="C10" s="15" t="s">
        <v>12</v>
      </c>
      <c r="E10" s="2" t="s">
        <v>5</v>
      </c>
      <c r="F10" s="12"/>
      <c r="P10" s="6"/>
      <c r="Q10" s="6"/>
      <c r="R10" s="6"/>
      <c r="S10" s="6"/>
      <c r="T10" s="6"/>
      <c r="U10" s="6"/>
      <c r="V10" s="6"/>
    </row>
    <row r="11" customFormat="false" ht="12.8" hidden="false" customHeight="false" outlineLevel="0" collapsed="false">
      <c r="B11" s="3" t="s">
        <v>13</v>
      </c>
      <c r="C11" s="15" t="s">
        <v>14</v>
      </c>
      <c r="E11" s="2" t="s">
        <v>5</v>
      </c>
      <c r="F11" s="12"/>
      <c r="G11" s="16"/>
      <c r="M11" s="14"/>
      <c r="N11" s="14"/>
      <c r="O11" s="14"/>
      <c r="P11" s="6"/>
      <c r="Q11" s="6"/>
      <c r="R11" s="6"/>
      <c r="S11" s="6"/>
      <c r="T11" s="6"/>
      <c r="U11" s="6"/>
      <c r="V11" s="6"/>
    </row>
    <row r="12" customFormat="false" ht="12.8" hidden="false" customHeight="false" outlineLevel="0" collapsed="false">
      <c r="B12" s="3" t="s">
        <v>15</v>
      </c>
      <c r="C12" s="17" t="str">
        <f aca="false">VLOOKUP(C18,Справочно!$L$2:$N$15,3,0)</f>
        <v>Да</v>
      </c>
      <c r="F12" s="12"/>
      <c r="P12" s="6"/>
      <c r="Q12" s="6"/>
      <c r="R12" s="6"/>
      <c r="S12" s="6"/>
      <c r="T12" s="6"/>
      <c r="U12" s="6"/>
      <c r="V12" s="6"/>
    </row>
    <row r="13" customFormat="false" ht="12.8" hidden="false" customHeight="false" outlineLevel="0" collapsed="false">
      <c r="B13" s="3" t="s">
        <v>16</v>
      </c>
      <c r="C13" s="15" t="s">
        <v>17</v>
      </c>
      <c r="E13" s="2" t="s">
        <v>5</v>
      </c>
      <c r="F13" s="10" t="s">
        <v>18</v>
      </c>
      <c r="G13" s="18"/>
      <c r="H13" s="19"/>
      <c r="I13" s="19"/>
      <c r="J13" s="19"/>
      <c r="K13" s="19"/>
      <c r="L13" s="19"/>
      <c r="N13" s="19"/>
      <c r="P13" s="6"/>
      <c r="Q13" s="6"/>
      <c r="R13" s="6"/>
      <c r="S13" s="6"/>
      <c r="T13" s="6"/>
      <c r="U13" s="6"/>
      <c r="V13" s="6"/>
    </row>
    <row r="14" customFormat="false" ht="12.8" hidden="false" customHeight="false" outlineLevel="0" collapsed="false">
      <c r="B14" s="3" t="s">
        <v>19</v>
      </c>
      <c r="C14" s="15" t="s">
        <v>20</v>
      </c>
      <c r="D14" s="1" t="str">
        <f aca="false">IF(AND(C14="дом",C13="деревянный"),"СОГЛАСОВАНИЕ РГ","")</f>
        <v/>
      </c>
      <c r="E14" s="2" t="s">
        <v>5</v>
      </c>
      <c r="F14" s="12"/>
      <c r="G14" s="16"/>
      <c r="H14" s="20"/>
      <c r="I14" s="20"/>
      <c r="J14" s="21"/>
      <c r="K14" s="21"/>
      <c r="L14" s="20"/>
      <c r="M14" s="20"/>
      <c r="N14" s="20"/>
      <c r="P14" s="6"/>
      <c r="Q14" s="6"/>
      <c r="R14" s="6"/>
      <c r="S14" s="6"/>
      <c r="T14" s="6"/>
      <c r="U14" s="6"/>
      <c r="V14" s="6"/>
    </row>
    <row r="15" customFormat="false" ht="12.8" hidden="false" customHeight="false" outlineLevel="0" collapsed="false">
      <c r="B15" s="3" t="s">
        <v>21</v>
      </c>
      <c r="C15" s="15" t="n">
        <v>2025</v>
      </c>
      <c r="E15" s="2" t="s">
        <v>5</v>
      </c>
      <c r="F15" s="10" t="s">
        <v>22</v>
      </c>
      <c r="G15" s="18"/>
      <c r="H15" s="19"/>
      <c r="I15" s="19"/>
      <c r="J15" s="21"/>
      <c r="K15" s="21"/>
      <c r="L15" s="19"/>
      <c r="M15" s="20"/>
      <c r="N15" s="19"/>
      <c r="P15" s="6"/>
      <c r="Q15" s="6"/>
      <c r="R15" s="6"/>
      <c r="S15" s="6"/>
      <c r="T15" s="6"/>
      <c r="U15" s="6"/>
      <c r="V15" s="6"/>
    </row>
    <row r="16" customFormat="false" ht="12.8" hidden="false" customHeight="false" outlineLevel="0" collapsed="false">
      <c r="B16" s="3" t="s">
        <v>23</v>
      </c>
      <c r="C16" s="13" t="str">
        <f aca="true">VLOOKUP(YEAR(TODAY())-C15,КИС!A60:B64,2,1)</f>
        <v>0-20</v>
      </c>
      <c r="G16" s="16"/>
      <c r="H16" s="20"/>
      <c r="I16" s="20"/>
      <c r="J16" s="21"/>
      <c r="K16" s="21"/>
      <c r="L16" s="20"/>
      <c r="M16" s="20"/>
      <c r="N16" s="20"/>
      <c r="P16" s="6"/>
      <c r="Q16" s="6"/>
      <c r="R16" s="6"/>
      <c r="S16" s="6"/>
      <c r="T16" s="6"/>
      <c r="U16" s="6"/>
      <c r="V16" s="6"/>
    </row>
    <row r="17" customFormat="false" ht="12.8" hidden="false" customHeight="false" outlineLevel="0" collapsed="false">
      <c r="B17" s="3" t="s">
        <v>24</v>
      </c>
      <c r="C17" s="15" t="s">
        <v>12</v>
      </c>
      <c r="G17" s="18"/>
      <c r="H17" s="19"/>
      <c r="I17" s="19"/>
      <c r="J17" s="21"/>
      <c r="K17" s="21"/>
      <c r="L17" s="19"/>
      <c r="M17" s="20"/>
      <c r="N17" s="19"/>
      <c r="P17" s="6"/>
      <c r="Q17" s="6"/>
      <c r="R17" s="6"/>
      <c r="S17" s="6"/>
      <c r="T17" s="6"/>
      <c r="U17" s="6"/>
      <c r="V17" s="6"/>
    </row>
    <row r="18" customFormat="false" ht="12.8" hidden="false" customHeight="false" outlineLevel="0" collapsed="false">
      <c r="B18" s="3" t="s">
        <v>25</v>
      </c>
      <c r="C18" s="22" t="s">
        <v>26</v>
      </c>
      <c r="E18" s="2" t="s">
        <v>5</v>
      </c>
      <c r="F18" s="12" t="s">
        <v>27</v>
      </c>
      <c r="G18" s="16"/>
      <c r="H18" s="20"/>
      <c r="I18" s="20"/>
      <c r="J18" s="21"/>
      <c r="K18" s="21"/>
      <c r="L18" s="20"/>
      <c r="M18" s="20"/>
      <c r="N18" s="20"/>
      <c r="P18" s="6"/>
      <c r="Q18" s="6"/>
      <c r="R18" s="6"/>
      <c r="S18" s="6"/>
      <c r="T18" s="6"/>
      <c r="U18" s="6"/>
      <c r="V18" s="6"/>
    </row>
    <row r="19" customFormat="false" ht="12.8" hidden="false" customHeight="false" outlineLevel="0" collapsed="false">
      <c r="B19" s="3" t="s">
        <v>28</v>
      </c>
      <c r="C19" s="17" t="n">
        <v>5</v>
      </c>
      <c r="G19" s="16"/>
      <c r="H19" s="16"/>
      <c r="I19" s="16"/>
      <c r="J19" s="20"/>
      <c r="K19" s="20"/>
      <c r="L19" s="16"/>
      <c r="M19" s="16"/>
      <c r="N19" s="16"/>
      <c r="O19" s="16"/>
      <c r="P19" s="6"/>
      <c r="Q19" s="6"/>
      <c r="R19" s="6"/>
      <c r="S19" s="6"/>
      <c r="T19" s="6"/>
      <c r="U19" s="6"/>
      <c r="V19" s="6"/>
    </row>
    <row r="20" customFormat="false" ht="12.8" hidden="false" customHeight="false" outlineLevel="0" collapsed="false">
      <c r="B20" s="3" t="s">
        <v>29</v>
      </c>
      <c r="C20" s="15" t="n">
        <f aca="true">IF(C18=Справочно!L12,IF(ORG.OPENOFFICE.YEARS(C6,TODAY(),0)&gt;40,Справочно!O12,Справочно!P12),
VLOOKUP(C18,Справочно!L2:M16,2,0))-C23</f>
        <v>5</v>
      </c>
      <c r="G20" s="16"/>
      <c r="H20" s="20"/>
      <c r="I20" s="20"/>
      <c r="M20" s="19"/>
      <c r="P20" s="6"/>
      <c r="Q20" s="6"/>
      <c r="R20" s="6"/>
      <c r="S20" s="6"/>
      <c r="T20" s="6"/>
      <c r="U20" s="6"/>
      <c r="V20" s="6"/>
    </row>
    <row r="21" customFormat="false" ht="12.8" hidden="false" customHeight="false" outlineLevel="0" collapsed="false">
      <c r="B21" s="3" t="s">
        <v>30</v>
      </c>
      <c r="C21" s="23" t="n">
        <v>0</v>
      </c>
      <c r="E21" s="24"/>
      <c r="H21" s="19"/>
      <c r="I21" s="19"/>
      <c r="P21" s="6"/>
      <c r="Q21" s="6"/>
      <c r="R21" s="6"/>
      <c r="S21" s="6"/>
      <c r="T21" s="6"/>
      <c r="U21" s="6"/>
      <c r="V21" s="6"/>
    </row>
    <row r="22" customFormat="false" ht="12.8" hidden="false" customHeight="false" outlineLevel="0" collapsed="false">
      <c r="B22" s="3" t="s">
        <v>31</v>
      </c>
      <c r="C22" s="22" t="s">
        <v>32</v>
      </c>
      <c r="P22" s="6"/>
      <c r="Q22" s="6"/>
      <c r="R22" s="6"/>
      <c r="S22" s="6"/>
      <c r="T22" s="6"/>
      <c r="U22" s="6"/>
      <c r="V22" s="6"/>
    </row>
    <row r="23" customFormat="false" ht="12.8" hidden="false" customHeight="false" outlineLevel="0" collapsed="false">
      <c r="B23" s="3" t="s">
        <v>33</v>
      </c>
      <c r="C23" s="15" t="n">
        <v>50</v>
      </c>
      <c r="P23" s="6"/>
      <c r="Q23" s="6"/>
      <c r="R23" s="6"/>
      <c r="S23" s="6"/>
      <c r="T23" s="6"/>
      <c r="U23" s="6"/>
      <c r="V23" s="6"/>
    </row>
    <row r="24" customFormat="false" ht="12.8" hidden="false" customHeight="false" outlineLevel="0" collapsed="false">
      <c r="B24" s="3" t="s">
        <v>34</v>
      </c>
      <c r="C24" s="15" t="n">
        <v>0</v>
      </c>
      <c r="P24" s="6"/>
      <c r="Q24" s="6"/>
      <c r="R24" s="6"/>
      <c r="S24" s="6"/>
      <c r="T24" s="6"/>
      <c r="U24" s="6"/>
      <c r="V24" s="6"/>
    </row>
    <row r="25" customFormat="false" ht="10.55" hidden="false" customHeight="true" outlineLevel="0" collapsed="false">
      <c r="B25" s="3" t="s">
        <v>35</v>
      </c>
      <c r="C25" s="17" t="n">
        <f aca="false">IF(C22="иной",SUM(C23,C21,C20,C19),SUM(C19:C24))</f>
        <v>60</v>
      </c>
      <c r="P25" s="6"/>
      <c r="Q25" s="6"/>
      <c r="R25" s="6"/>
      <c r="S25" s="6"/>
      <c r="T25" s="6"/>
      <c r="U25" s="6"/>
      <c r="V25" s="6"/>
    </row>
    <row r="26" customFormat="false" ht="12.8" hidden="false" customHeight="false" outlineLevel="0" collapsed="false">
      <c r="B26" s="5"/>
      <c r="C26" s="5"/>
      <c r="P26" s="25"/>
      <c r="Q26" s="25"/>
      <c r="R26" s="25"/>
      <c r="S26" s="25"/>
      <c r="T26" s="25"/>
      <c r="U26" s="25"/>
      <c r="V26" s="25"/>
    </row>
    <row r="27" customFormat="false" ht="12.8" hidden="false" customHeight="false" outlineLevel="0" collapsed="false">
      <c r="B27" s="26" t="s">
        <v>36</v>
      </c>
      <c r="C27" s="27" t="n">
        <v>0</v>
      </c>
      <c r="D27" s="20" t="n">
        <f aca="false">C27*IF(D37="нет","n/a",VLOOKUP(C8,КИС!$A$15:$L$34,IF(C9="Мужчина",11,12),0)*VLOOKUP(C11,КИС!B8:C9,2,0)*VLOOKUP(C10,КИС!B11:C12,2,0)*C36)</f>
        <v>0</v>
      </c>
      <c r="P27" s="25"/>
      <c r="Q27" s="25"/>
      <c r="R27" s="25"/>
      <c r="S27" s="25"/>
      <c r="T27" s="25"/>
      <c r="U27" s="25"/>
      <c r="V27" s="25"/>
    </row>
    <row r="28" customFormat="false" ht="12.8" hidden="false" customHeight="false" outlineLevel="0" collapsed="false">
      <c r="B28" s="26" t="s">
        <v>37</v>
      </c>
      <c r="C28" s="27" t="n">
        <v>0</v>
      </c>
      <c r="D28" s="20" t="n">
        <f aca="false">IFERROR(C28*C36*IF(D39="Нет","n/a",IF(C12="Нет",КИС!K48,КИС!K47)*VLOOKUP(C13,КИС!B51:C53,2,0)*VLOOKUP(C14,КИС!B55:C58,2,0)*VLOOKUP(C16,КИС!B60:C64,2,0)*IF(C17="Нет",1,КИС!C50)),0)</f>
        <v>0</v>
      </c>
      <c r="P28" s="25"/>
      <c r="Q28" s="25"/>
      <c r="R28" s="25"/>
      <c r="S28" s="25"/>
      <c r="T28" s="25"/>
      <c r="U28" s="25"/>
      <c r="V28" s="25"/>
    </row>
    <row r="29" customFormat="false" ht="12.8" hidden="false" customHeight="false" outlineLevel="0" collapsed="false">
      <c r="B29" s="26" t="s">
        <v>38</v>
      </c>
      <c r="C29" s="27" t="n">
        <v>0</v>
      </c>
      <c r="P29" s="25"/>
      <c r="Q29" s="25"/>
      <c r="R29" s="25"/>
      <c r="S29" s="25"/>
      <c r="T29" s="25"/>
      <c r="U29" s="25"/>
      <c r="V29" s="25"/>
    </row>
    <row r="30" customFormat="false" ht="12.8" hidden="false" customHeight="false" outlineLevel="0" collapsed="false">
      <c r="P30" s="25"/>
      <c r="Q30" s="25"/>
      <c r="R30" s="25"/>
      <c r="S30" s="25"/>
      <c r="T30" s="25"/>
      <c r="U30" s="25"/>
      <c r="V30" s="25"/>
    </row>
    <row r="31" customFormat="false" ht="12.8" hidden="false" customHeight="false" outlineLevel="0" collapsed="false">
      <c r="B31" s="3" t="s">
        <v>39</v>
      </c>
      <c r="C31" s="15" t="s">
        <v>40</v>
      </c>
      <c r="E31" s="2" t="s">
        <v>5</v>
      </c>
      <c r="P31" s="25"/>
      <c r="Q31" s="25"/>
      <c r="R31" s="25"/>
      <c r="S31" s="25"/>
      <c r="T31" s="25"/>
      <c r="U31" s="25"/>
      <c r="V31" s="25"/>
    </row>
    <row r="32" customFormat="false" ht="12.8" hidden="false" customHeight="false" outlineLevel="0" collapsed="false">
      <c r="P32" s="25"/>
      <c r="Q32" s="25"/>
      <c r="R32" s="25"/>
      <c r="S32" s="25"/>
      <c r="T32" s="25"/>
      <c r="U32" s="25"/>
      <c r="V32" s="25"/>
    </row>
    <row r="33" customFormat="false" ht="20.85" hidden="false" customHeight="false" outlineLevel="0" collapsed="false">
      <c r="B33" s="5" t="s">
        <v>41</v>
      </c>
      <c r="C33" s="5"/>
      <c r="D33" s="5" t="s">
        <v>42</v>
      </c>
      <c r="F33" s="1"/>
      <c r="G33" s="28" t="s">
        <v>43</v>
      </c>
      <c r="H33" s="28" t="s">
        <v>44</v>
      </c>
      <c r="I33" s="28" t="s">
        <v>45</v>
      </c>
      <c r="J33" s="28" t="s">
        <v>46</v>
      </c>
      <c r="K33" s="28" t="s">
        <v>47</v>
      </c>
      <c r="L33" s="28" t="s">
        <v>48</v>
      </c>
      <c r="M33" s="28" t="s">
        <v>49</v>
      </c>
      <c r="N33" s="28" t="s">
        <v>50</v>
      </c>
      <c r="O33" s="28" t="s">
        <v>51</v>
      </c>
      <c r="Q33" s="20"/>
    </row>
    <row r="34" customFormat="false" ht="12.8" hidden="false" customHeight="false" outlineLevel="0" collapsed="false">
      <c r="B34" s="3" t="s">
        <v>52</v>
      </c>
      <c r="C34" s="29" t="n">
        <v>1990000</v>
      </c>
      <c r="D34" s="30"/>
      <c r="E34" s="2" t="s">
        <v>5</v>
      </c>
      <c r="F34" s="24" t="s">
        <v>53</v>
      </c>
      <c r="H34" s="2"/>
    </row>
    <row r="35" customFormat="false" ht="12.8" hidden="false" customHeight="true" outlineLevel="0" collapsed="false">
      <c r="B35" s="3" t="s">
        <v>54</v>
      </c>
      <c r="C35" s="31" t="n">
        <f aca="false">VLOOKUP(C18,Справочно!L2:Q16,6,0)%</f>
        <v>0</v>
      </c>
      <c r="D35" s="30"/>
      <c r="F35" s="24"/>
      <c r="H35" s="2"/>
      <c r="P35" s="25"/>
      <c r="Q35" s="25"/>
      <c r="R35" s="25"/>
      <c r="S35" s="25"/>
      <c r="T35" s="25"/>
      <c r="U35" s="25"/>
      <c r="V35" s="25"/>
    </row>
    <row r="36" customFormat="false" ht="12.8" hidden="false" customHeight="false" outlineLevel="0" collapsed="false">
      <c r="B36" s="3" t="s">
        <v>55</v>
      </c>
      <c r="C36" s="32" t="n">
        <f aca="false">C34*(1+C35)</f>
        <v>1990000</v>
      </c>
      <c r="D36" s="30"/>
      <c r="E36" s="1"/>
      <c r="F36" s="1"/>
      <c r="H36" s="2"/>
      <c r="P36" s="25"/>
      <c r="Q36" s="25"/>
      <c r="R36" s="25"/>
      <c r="S36" s="25"/>
      <c r="T36" s="25"/>
      <c r="U36" s="25"/>
      <c r="V36" s="25"/>
    </row>
    <row r="37" customFormat="false" ht="12.8" hidden="false" customHeight="false" outlineLevel="1" collapsed="false">
      <c r="B37" s="26" t="s">
        <v>56</v>
      </c>
      <c r="C37" s="33" t="n">
        <f aca="false">IF(D37="нет","n/a",IF(C31="да",MAX(G37,O37),G37))</f>
        <v>0.006104</v>
      </c>
      <c r="D37" s="34" t="s">
        <v>40</v>
      </c>
      <c r="E37" s="35"/>
      <c r="F37" s="35"/>
      <c r="G37" s="36" t="n">
        <f aca="false">ROUND(VLOOKUP(C8,КИС!$A$15:$L$34,IF(C9="Мужчина",11,12),0)*VLOOKUP(C11,КИС!B8:C9,2,0)*VLOOKUP(C10,КИС!B11:C12,2,0)*(1+C27),7)</f>
        <v>0.00495</v>
      </c>
      <c r="H37" s="36" t="n">
        <f aca="false">G37*(1-C43)</f>
        <v>0.002475</v>
      </c>
      <c r="I37" s="35" t="n">
        <f aca="true">ROUND(VLOOKUP(ORG.OPENOFFICE.YEARS(C6,TODAY(),0),РНПК!A1:C49,IF(C9="женщина",3,2),0)/100,6)</f>
        <v>0.003052</v>
      </c>
      <c r="J37" s="35" t="n">
        <f aca="false">I37*1.05</f>
        <v>0.0032046</v>
      </c>
      <c r="K37" s="35" t="n">
        <f aca="false">IFERROR(H37-J37,"")</f>
        <v>-0.0007296</v>
      </c>
      <c r="L37" s="20" t="n">
        <f aca="false">$C$36*K37</f>
        <v>-1451.904</v>
      </c>
      <c r="M37" s="20" t="n">
        <f aca="false">I37*$C$36</f>
        <v>6073.48</v>
      </c>
      <c r="N37" s="37" t="n">
        <f aca="false">M37/(1-C43)</f>
        <v>12146.96</v>
      </c>
      <c r="O37" s="38" t="n">
        <f aca="false">ROUND(N37/C36,7)</f>
        <v>0.006104</v>
      </c>
      <c r="P37" s="25"/>
      <c r="Q37" s="25"/>
      <c r="R37" s="25"/>
      <c r="S37" s="25"/>
      <c r="T37" s="25"/>
      <c r="U37" s="25"/>
      <c r="V37" s="25"/>
    </row>
    <row r="38" customFormat="false" ht="12.8" hidden="false" customHeight="false" outlineLevel="1" collapsed="false">
      <c r="B38" s="3" t="s">
        <v>57</v>
      </c>
      <c r="C38" s="39" t="n">
        <f aca="false">IF(D37="Нет","n/a",C37*C36)</f>
        <v>12146.96</v>
      </c>
      <c r="D38" s="34"/>
      <c r="E38" s="35"/>
      <c r="F38" s="35"/>
      <c r="G38" s="16"/>
      <c r="H38" s="16"/>
      <c r="I38" s="20"/>
      <c r="J38" s="20"/>
      <c r="K38" s="20"/>
      <c r="L38" s="20"/>
      <c r="P38" s="25"/>
      <c r="Q38" s="25"/>
      <c r="R38" s="25"/>
      <c r="S38" s="25"/>
      <c r="T38" s="25"/>
      <c r="U38" s="25"/>
      <c r="V38" s="25"/>
      <c r="W38" s="1" t="n">
        <f aca="false">IF(D37="ДА",1,0)</f>
        <v>1</v>
      </c>
    </row>
    <row r="39" customFormat="false" ht="12.8" hidden="false" customHeight="false" outlineLevel="1" collapsed="false">
      <c r="B39" s="26" t="s">
        <v>58</v>
      </c>
      <c r="C39" s="33" t="n">
        <f aca="false">IF(D39="нет","n/a",MAX(G39,O39))</f>
        <v>0.0005</v>
      </c>
      <c r="D39" s="34" t="s">
        <v>40</v>
      </c>
      <c r="E39" s="40"/>
      <c r="F39" s="1"/>
      <c r="G39" s="36" t="n">
        <f aca="false">IF(D39="Нет","n/a",ROUND(IF(C12="Нет",КИС!K48,КИС!K47)*VLOOKUP(C13,КИС!B51:C53,2,0)*VLOOKUP(C14,КИС!B55:C58,2,0)*VLOOKUP(C16,КИС!B60:C64,2,0)*IF(C17="Нет",1,КИС!C50)*(1+C28),7))</f>
        <v>0.000476</v>
      </c>
      <c r="H39" s="36" t="n">
        <f aca="false">G39*(1-C43)</f>
        <v>0.000238</v>
      </c>
      <c r="I39" s="41" t="str">
        <f aca="false">IF(C14="квартира",Справочно!G4,VLOOKUP(C13,Справочно!F5:G7,2,0))</f>
        <v>0,025%</v>
      </c>
      <c r="J39" s="35" t="n">
        <f aca="false">I39*1.05</f>
        <v>0.0002625</v>
      </c>
      <c r="K39" s="35" t="n">
        <f aca="false">IFERROR(H39-J39,"")</f>
        <v>-2.45E-005</v>
      </c>
      <c r="L39" s="20" t="n">
        <f aca="false">$C$36*K39</f>
        <v>-48.7549999999999</v>
      </c>
      <c r="M39" s="20" t="n">
        <f aca="false">I39*$C$36</f>
        <v>497.5</v>
      </c>
      <c r="N39" s="37" t="n">
        <f aca="false">M39/(1-C43)</f>
        <v>995</v>
      </c>
      <c r="O39" s="38" t="n">
        <f aca="false">ROUND(N39/C36,7)</f>
        <v>0.0005</v>
      </c>
      <c r="P39" s="25"/>
      <c r="Q39" s="25"/>
      <c r="R39" s="25"/>
      <c r="S39" s="25"/>
      <c r="T39" s="25"/>
      <c r="U39" s="25"/>
      <c r="V39" s="25"/>
      <c r="W39" s="1"/>
    </row>
    <row r="40" customFormat="false" ht="12.8" hidden="false" customHeight="false" outlineLevel="1" collapsed="false">
      <c r="B40" s="3" t="s">
        <v>57</v>
      </c>
      <c r="C40" s="39" t="n">
        <f aca="false">IF(D39="Нет","n/a",C39*C36)</f>
        <v>995</v>
      </c>
      <c r="D40" s="34"/>
      <c r="E40" s="16"/>
      <c r="F40" s="1"/>
      <c r="G40" s="16"/>
      <c r="H40" s="16"/>
      <c r="I40" s="20"/>
      <c r="J40" s="20"/>
      <c r="K40" s="20"/>
      <c r="L40" s="20"/>
      <c r="P40" s="25"/>
      <c r="Q40" s="25"/>
      <c r="R40" s="25"/>
      <c r="S40" s="25"/>
      <c r="T40" s="25"/>
      <c r="U40" s="25"/>
      <c r="V40" s="25"/>
      <c r="W40" s="1" t="n">
        <f aca="false">IF(D39="ДА",1,0)</f>
        <v>1</v>
      </c>
    </row>
    <row r="41" customFormat="false" ht="12.8" hidden="false" customHeight="false" outlineLevel="1" collapsed="false">
      <c r="B41" s="26" t="s">
        <v>59</v>
      </c>
      <c r="C41" s="33" t="str">
        <f aca="false">IF(D41="нет","n/a",MAX(G41,O41))</f>
        <v>n/a</v>
      </c>
      <c r="D41" s="34" t="s">
        <v>12</v>
      </c>
      <c r="E41" s="16"/>
      <c r="F41" s="1"/>
      <c r="G41" s="36" t="n">
        <f aca="false">ROUND(КИС!K73*(1+C29),7)</f>
        <v>0.00165</v>
      </c>
      <c r="H41" s="36" t="n">
        <f aca="false">G41*(1-C43)</f>
        <v>0.000825</v>
      </c>
      <c r="I41" s="42" t="n">
        <v>0.0008</v>
      </c>
      <c r="J41" s="35" t="n">
        <f aca="false">I41*1.05</f>
        <v>0.00084</v>
      </c>
      <c r="K41" s="35" t="n">
        <f aca="false">IFERROR(H41-J41,"")</f>
        <v>-1.5E-005</v>
      </c>
      <c r="L41" s="20" t="n">
        <f aca="false">$C$36*K41</f>
        <v>-29.8500000000001</v>
      </c>
      <c r="M41" s="20" t="n">
        <f aca="false">I41*$C$36</f>
        <v>1592</v>
      </c>
      <c r="N41" s="37" t="n">
        <f aca="false">M41/(1-C43)</f>
        <v>3184</v>
      </c>
      <c r="O41" s="38" t="n">
        <f aca="false">ROUND(N41/C36,7)</f>
        <v>0.0016</v>
      </c>
      <c r="Q41" s="1"/>
      <c r="W41" s="1"/>
    </row>
    <row r="42" customFormat="false" ht="12.8" hidden="false" customHeight="false" outlineLevel="1" collapsed="false">
      <c r="B42" s="3" t="s">
        <v>57</v>
      </c>
      <c r="C42" s="39" t="str">
        <f aca="false">IF(D41="Нет","n/a",C41*C36)</f>
        <v>n/a</v>
      </c>
      <c r="D42" s="34"/>
      <c r="E42" s="16"/>
      <c r="F42" s="1"/>
      <c r="G42" s="36" t="n">
        <f aca="false">G39+G41</f>
        <v>0.002126</v>
      </c>
      <c r="H42" s="36" t="n">
        <f aca="false">H39+H41</f>
        <v>0.001063</v>
      </c>
      <c r="I42" s="19" t="n">
        <v>0.001</v>
      </c>
      <c r="J42" s="35" t="n">
        <f aca="false">I42*1.05</f>
        <v>0.00105</v>
      </c>
      <c r="K42" s="35" t="n">
        <f aca="false">IFERROR(H42-J42,"")</f>
        <v>1.3E-005</v>
      </c>
      <c r="L42" s="20" t="n">
        <f aca="false">$C$36*K42</f>
        <v>25.87</v>
      </c>
      <c r="M42" s="20" t="n">
        <f aca="false">I42*$C$36</f>
        <v>1990</v>
      </c>
      <c r="N42" s="37" t="n">
        <f aca="false">M42/(1-C43)</f>
        <v>3980</v>
      </c>
      <c r="O42" s="38" t="n">
        <f aca="false">ROUND(N42/C36,7)</f>
        <v>0.002</v>
      </c>
      <c r="Q42" s="1"/>
      <c r="W42" s="1" t="n">
        <f aca="false">IF(D41="ДА",1,0)</f>
        <v>0</v>
      </c>
    </row>
    <row r="43" customFormat="false" ht="12.8" hidden="false" customHeight="false" outlineLevel="1" collapsed="false">
      <c r="B43" s="3" t="s">
        <v>60</v>
      </c>
      <c r="C43" s="43" t="n">
        <f aca="false">C23/100</f>
        <v>0.5</v>
      </c>
      <c r="D43" s="34"/>
      <c r="E43" s="16"/>
      <c r="F43" s="1"/>
      <c r="G43" s="16"/>
      <c r="H43" s="16"/>
      <c r="K43" s="20"/>
      <c r="L43" s="20"/>
      <c r="W43" s="1"/>
    </row>
    <row r="44" customFormat="false" ht="12.8" hidden="false" customHeight="false" outlineLevel="0" collapsed="false">
      <c r="B44" s="44" t="s">
        <v>61</v>
      </c>
      <c r="C44" s="45" t="n">
        <f aca="false">SUMIFS(C37:C44,W37:W44,1)</f>
        <v>13141.96</v>
      </c>
      <c r="D44" s="46"/>
      <c r="F44" s="1"/>
      <c r="H44" s="2"/>
      <c r="L44" s="1" t="n">
        <f aca="false">SUM(L37,IF(D41="нет",L39,L42))</f>
        <v>-1500.659</v>
      </c>
    </row>
    <row r="47" customFormat="false" ht="23.05" hidden="false" customHeight="true" outlineLevel="0" collapsed="false">
      <c r="E47" s="47"/>
      <c r="F47" s="47"/>
      <c r="G47" s="47"/>
      <c r="I47" s="48"/>
      <c r="K47" s="48"/>
      <c r="N47" s="48"/>
      <c r="O47" s="46"/>
    </row>
    <row r="48" customFormat="false" ht="12.8" hidden="false" customHeight="false" outlineLevel="0" collapsed="false">
      <c r="B48" s="5" t="s">
        <v>41</v>
      </c>
      <c r="C48" s="5"/>
      <c r="D48" s="5"/>
      <c r="E48" s="5"/>
      <c r="F48" s="5"/>
    </row>
    <row r="49" customFormat="false" ht="12.8" hidden="false" customHeight="false" outlineLevel="0" collapsed="false">
      <c r="B49" s="3" t="s">
        <v>52</v>
      </c>
      <c r="C49" s="49" t="n">
        <f aca="false">C34</f>
        <v>1990000</v>
      </c>
      <c r="D49" s="49"/>
      <c r="E49" s="49"/>
      <c r="F49" s="49"/>
    </row>
    <row r="50" customFormat="false" ht="12.8" hidden="false" customHeight="false" outlineLevel="0" collapsed="false">
      <c r="B50" s="3" t="s">
        <v>54</v>
      </c>
      <c r="C50" s="50" t="n">
        <f aca="false">C35</f>
        <v>0</v>
      </c>
      <c r="D50" s="50"/>
      <c r="E50" s="50"/>
      <c r="F50" s="50"/>
    </row>
    <row r="51" customFormat="false" ht="12.8" hidden="false" customHeight="false" outlineLevel="0" collapsed="false">
      <c r="B51" s="3" t="s">
        <v>55</v>
      </c>
      <c r="C51" s="49" t="n">
        <f aca="false">C49*(1+C50)</f>
        <v>1990000</v>
      </c>
      <c r="D51" s="49"/>
      <c r="E51" s="49"/>
      <c r="F51" s="49"/>
    </row>
    <row r="52" customFormat="false" ht="12.8" hidden="false" customHeight="false" outlineLevel="0" collapsed="false">
      <c r="B52" s="3" t="str">
        <f aca="false">B19</f>
        <v>РВД</v>
      </c>
      <c r="C52" s="51" t="n">
        <f aca="false">C19</f>
        <v>5</v>
      </c>
      <c r="D52" s="51"/>
      <c r="E52" s="51"/>
      <c r="F52" s="51"/>
    </row>
    <row r="53" customFormat="false" ht="12.8" hidden="false" customHeight="false" outlineLevel="0" collapsed="false">
      <c r="B53" s="3" t="str">
        <f aca="false">B20</f>
        <v>Прибыль и прочее</v>
      </c>
      <c r="C53" s="51" t="n">
        <f aca="false">C20</f>
        <v>5</v>
      </c>
      <c r="D53" s="51"/>
      <c r="E53" s="51"/>
      <c r="F53" s="51"/>
    </row>
    <row r="54" customFormat="false" ht="12.8" hidden="false" customHeight="false" outlineLevel="0" collapsed="false">
      <c r="B54" s="3" t="s">
        <v>60</v>
      </c>
      <c r="C54" s="51" t="n">
        <f aca="false">SUM(C23:C24)</f>
        <v>50</v>
      </c>
      <c r="D54" s="51"/>
      <c r="E54" s="51"/>
      <c r="F54" s="51"/>
    </row>
    <row r="55" customFormat="false" ht="12.8" hidden="false" customHeight="false" outlineLevel="0" collapsed="false">
      <c r="B55" s="3" t="s">
        <v>35</v>
      </c>
      <c r="C55" s="49" t="n">
        <f aca="false">C25</f>
        <v>60</v>
      </c>
      <c r="D55" s="49"/>
      <c r="E55" s="49"/>
      <c r="F55" s="49"/>
    </row>
    <row r="56" customFormat="false" ht="12.8" hidden="false" customHeight="false" outlineLevel="0" collapsed="false">
      <c r="B56" s="26" t="s">
        <v>36</v>
      </c>
      <c r="C56" s="52" t="n">
        <f aca="false">C27</f>
        <v>0</v>
      </c>
      <c r="D56" s="52"/>
      <c r="E56" s="52"/>
      <c r="F56" s="52"/>
    </row>
    <row r="57" customFormat="false" ht="12.8" hidden="false" customHeight="false" outlineLevel="0" collapsed="false">
      <c r="B57" s="26" t="s">
        <v>37</v>
      </c>
      <c r="C57" s="52" t="n">
        <f aca="false">C28</f>
        <v>0</v>
      </c>
      <c r="D57" s="52"/>
      <c r="E57" s="52"/>
      <c r="F57" s="52"/>
    </row>
    <row r="58" customFormat="false" ht="12.8" hidden="false" customHeight="false" outlineLevel="0" collapsed="false">
      <c r="B58" s="26" t="s">
        <v>38</v>
      </c>
      <c r="C58" s="52" t="n">
        <f aca="false">C29</f>
        <v>0</v>
      </c>
      <c r="D58" s="52"/>
      <c r="E58" s="52"/>
      <c r="F58" s="52"/>
    </row>
    <row r="59" customFormat="false" ht="20.85" hidden="false" customHeight="false" outlineLevel="0" collapsed="false">
      <c r="B59" s="3"/>
      <c r="C59" s="26" t="s">
        <v>62</v>
      </c>
      <c r="D59" s="26" t="s">
        <v>63</v>
      </c>
      <c r="E59" s="26" t="s">
        <v>64</v>
      </c>
      <c r="F59" s="26" t="s">
        <v>65</v>
      </c>
    </row>
    <row r="60" customFormat="false" ht="12.8" hidden="false" customHeight="false" outlineLevel="0" collapsed="false">
      <c r="B60" s="5" t="s">
        <v>42</v>
      </c>
      <c r="C60" s="17" t="str">
        <f aca="false">D37</f>
        <v>Да</v>
      </c>
      <c r="D60" s="17" t="str">
        <f aca="false">D39</f>
        <v>Да</v>
      </c>
      <c r="E60" s="17" t="str">
        <f aca="false">D41</f>
        <v>Нет</v>
      </c>
      <c r="F60" s="17" t="str">
        <f aca="false">IF(AND(D60="Да",E60="Да")=1,"Да","Нет")</f>
        <v>Нет</v>
      </c>
    </row>
    <row r="61" customFormat="false" ht="12.8" hidden="false" customHeight="false" outlineLevel="1" collapsed="false">
      <c r="B61" s="3" t="s">
        <v>66</v>
      </c>
      <c r="C61" s="53" t="n">
        <f aca="false">IF(C60="нет","n/a",ROUND(VLOOKUP(C8,КИС!$A$15:$L$34,IF(C9="мужчина",11,12),0)*VLOOKUP(C11,КИС!B8:C9,2,0)*VLOOKUP(C10,КИС!B11:C12,2,0)*(1+C27),7))</f>
        <v>0.00495</v>
      </c>
      <c r="D61" s="53" t="n">
        <f aca="false">IF(D39="Нет","n/a",ROUND(IF(C12="Нет",КИС!K48,КИС!K47)*VLOOKUP(C13,КИС!B51:C53,2,0)*VLOOKUP(C14,КИС!B55:C58,2,0)*VLOOKUP(C16,КИС!B60:C64,2,0)*IF(C17="Нет",1,КИС!C50)*(1+C28),7))</f>
        <v>0.000476</v>
      </c>
      <c r="E61" s="53" t="str">
        <f aca="false">IF(D41="нет","n/a",КИС!K73*(1+C29))</f>
        <v>n/a</v>
      </c>
      <c r="F61" s="53" t="str">
        <f aca="false">IF(F60="нет","n/a",D61+E61)</f>
        <v>n/a</v>
      </c>
    </row>
    <row r="62" customFormat="false" ht="12.8" hidden="false" customHeight="false" outlineLevel="1" collapsed="false">
      <c r="B62" s="3" t="s">
        <v>67</v>
      </c>
      <c r="C62" s="53" t="n">
        <f aca="false">IF(C60="нет","n/a",C64/(1-$C$43))</f>
        <v>0.006104</v>
      </c>
      <c r="D62" s="53" t="n">
        <f aca="false">O39</f>
        <v>0.0005</v>
      </c>
      <c r="E62" s="53" t="str">
        <f aca="false">IF(D41="нет","n/a",E64/(1-$C$43))</f>
        <v>n/a</v>
      </c>
      <c r="F62" s="53" t="str">
        <f aca="false">IF(F60="нет","n/a",F64/(1-$C$43))</f>
        <v>n/a</v>
      </c>
    </row>
    <row r="63" customFormat="false" ht="12.8" hidden="false" customHeight="false" outlineLevel="1" collapsed="false">
      <c r="B63" s="3" t="s">
        <v>44</v>
      </c>
      <c r="C63" s="53" t="n">
        <f aca="false">IF(C60="нет","n/a",G37*(1-C43))</f>
        <v>0.002475</v>
      </c>
      <c r="D63" s="53" t="n">
        <f aca="false">IF(D60="нет","n/a",G39*(1-C43))</f>
        <v>0.000238</v>
      </c>
      <c r="E63" s="53" t="str">
        <f aca="false">IF(D41="нет","n/a",G41*(1-C43))</f>
        <v>n/a</v>
      </c>
      <c r="F63" s="53" t="str">
        <f aca="false">IF(F60="нет","n/a",D63+E63)</f>
        <v>n/a</v>
      </c>
    </row>
    <row r="64" customFormat="false" ht="12.8" hidden="false" customHeight="false" outlineLevel="1" collapsed="false">
      <c r="B64" s="3" t="s">
        <v>68</v>
      </c>
      <c r="C64" s="53" t="n">
        <f aca="true">IF(C60="нет","n/a",VLOOKUP(ORG.OPENOFFICE.YEARS(C6,TODAY(),0),РНПК!A1:C49,IF(C9="женщина",3,2),0)/100)</f>
        <v>0.003052</v>
      </c>
      <c r="D64" s="53" t="str">
        <f aca="false">IF(D60="нет","n/a",IF(C14="квартира",Справочно!G4,VLOOKUP(C13,Справочно!F5:G7,2,0)))</f>
        <v>0,025%</v>
      </c>
      <c r="E64" s="53" t="str">
        <f aca="false">IF(D41="нет","n/a",0.08%)</f>
        <v>n/a</v>
      </c>
      <c r="F64" s="53" t="str">
        <f aca="false">IF(F60="нет","n/a",0.1%)</f>
        <v>n/a</v>
      </c>
    </row>
    <row r="65" customFormat="false" ht="12.8" hidden="false" customHeight="false" outlineLevel="1" collapsed="false">
      <c r="B65" s="3" t="s">
        <v>69</v>
      </c>
      <c r="C65" s="53" t="n">
        <f aca="false">IF(C60="нет","n/a",C64*1.05)</f>
        <v>0.0032046</v>
      </c>
      <c r="D65" s="53" t="n">
        <f aca="false">IF(D60="нет","n/a",D64*1.05)</f>
        <v>0.0002625</v>
      </c>
      <c r="E65" s="53" t="str">
        <f aca="false">IF(E60="нет","n/a",E64*1.05)</f>
        <v>n/a</v>
      </c>
      <c r="F65" s="53" t="str">
        <f aca="false">IF(F60="нет","n/a",F64*1.05)</f>
        <v>n/a</v>
      </c>
      <c r="R65" s="20"/>
    </row>
    <row r="66" customFormat="false" ht="12.8" hidden="false" customHeight="false" outlineLevel="1" collapsed="false">
      <c r="B66" s="3" t="s">
        <v>70</v>
      </c>
      <c r="C66" s="37" t="n">
        <f aca="false">IF(C60="нет","n/a",(C63-C65)*$C$51)</f>
        <v>-1451.904</v>
      </c>
      <c r="D66" s="37" t="n">
        <f aca="false">IF(D60="нет","n/a",(D63-D64)*$C$51)</f>
        <v>-23.88</v>
      </c>
      <c r="E66" s="37" t="str">
        <f aca="false">IF(E60="нет","n/a",(E63-E65)*$C$51)</f>
        <v>n/a</v>
      </c>
      <c r="F66" s="37" t="str">
        <f aca="false">IF(F60="нет","n/a",(F63-F65)*$C$51)</f>
        <v>n/a</v>
      </c>
    </row>
    <row r="67" customFormat="false" ht="12.8" hidden="false" customHeight="false" outlineLevel="0" collapsed="false">
      <c r="B67" s="3" t="s">
        <v>66</v>
      </c>
      <c r="C67" s="33" t="n">
        <f aca="false">IF(C60="нет","n/a",MAX(C61,C62))</f>
        <v>0.006104</v>
      </c>
      <c r="D67" s="33" t="n">
        <f aca="false">IF(D60="нет","n/a",IF(D60="нет","n/a",MAX(D61,D62)))</f>
        <v>0.0005</v>
      </c>
      <c r="E67" s="33" t="str">
        <f aca="false">IF(E60="нет","n/a",IF(E60="нет","n/a",MAX(E61,E62)))</f>
        <v>n/a</v>
      </c>
      <c r="F67" s="33" t="str">
        <f aca="false">IF(F60="нет","n/a",IF(F60="нет","n/a",MAX(F61,F62)))</f>
        <v>n/a</v>
      </c>
    </row>
    <row r="68" customFormat="false" ht="12.8" hidden="false" customHeight="false" outlineLevel="0" collapsed="false">
      <c r="B68" s="3" t="s">
        <v>71</v>
      </c>
      <c r="C68" s="54" t="n">
        <f aca="false">IFERROR($C$51*C67,"n/a")</f>
        <v>12146.96</v>
      </c>
      <c r="D68" s="54" t="n">
        <f aca="false">IF(D60="нет","n/a",IFERROR($C$51*D67,"n/a"))</f>
        <v>995</v>
      </c>
      <c r="E68" s="54" t="str">
        <f aca="false">IFERROR($C$51*E67,"n/a")</f>
        <v>n/a</v>
      </c>
      <c r="F68" s="54" t="str">
        <f aca="false">IFERROR($C$51*F67,"n/a")</f>
        <v>n/a</v>
      </c>
    </row>
    <row r="69" customFormat="false" ht="12.8" hidden="false" customHeight="false" outlineLevel="0" collapsed="false">
      <c r="B69" s="3" t="str">
        <f aca="false">"КВ посредника "&amp;(C43*100)&amp;"%"</f>
        <v>КВ посредника 50%</v>
      </c>
      <c r="C69" s="54" t="n">
        <f aca="false">IFERROR(C68*$C$43,"n/a")</f>
        <v>6073.48</v>
      </c>
      <c r="D69" s="54" t="n">
        <f aca="false">IFERROR(D68*$C$43,"n/a")</f>
        <v>497.5</v>
      </c>
      <c r="E69" s="54" t="str">
        <f aca="false">IFERROR(E68*$C$43,"n/a")</f>
        <v>n/a</v>
      </c>
      <c r="F69" s="54" t="str">
        <f aca="false">IFERROR(F68*$C$43,"n/a")</f>
        <v>n/a</v>
      </c>
    </row>
    <row r="70" customFormat="false" ht="12.8" hidden="false" customHeight="false" outlineLevel="0" collapsed="false">
      <c r="B70" s="3" t="s">
        <v>72</v>
      </c>
      <c r="C70" s="53" t="n">
        <f aca="false">C63</f>
        <v>0.002475</v>
      </c>
      <c r="D70" s="53" t="n">
        <f aca="false">D63</f>
        <v>0.000238</v>
      </c>
      <c r="E70" s="53" t="str">
        <f aca="false">E63</f>
        <v>n/a</v>
      </c>
      <c r="F70" s="53" t="str">
        <f aca="false">F63</f>
        <v>n/a</v>
      </c>
    </row>
    <row r="71" customFormat="false" ht="12.8" hidden="false" customHeight="false" outlineLevel="0" collapsed="false">
      <c r="B71" s="3" t="s">
        <v>73</v>
      </c>
      <c r="C71" s="54" t="n">
        <f aca="false">IFERROR(C68-C69,"n/a")</f>
        <v>6073.48</v>
      </c>
      <c r="D71" s="54" t="n">
        <f aca="false">IFERROR(D68-D69,"n/a")</f>
        <v>497.5</v>
      </c>
      <c r="E71" s="54" t="str">
        <f aca="false">IFERROR(E68-E69,"n/a")</f>
        <v>n/a</v>
      </c>
      <c r="F71" s="54" t="str">
        <f aca="false">IFERROR(F68-F69,"n/a")</f>
        <v>n/a</v>
      </c>
    </row>
    <row r="72" customFormat="false" ht="12.8" hidden="false" customHeight="false" outlineLevel="0" collapsed="false">
      <c r="B72" s="3" t="s">
        <v>74</v>
      </c>
      <c r="C72" s="54" t="n">
        <f aca="false">IFERROR(C71*10%,"n/a")</f>
        <v>607.348</v>
      </c>
      <c r="D72" s="54" t="n">
        <f aca="false">IFERROR(D71*10%,"n/a")</f>
        <v>49.75</v>
      </c>
      <c r="E72" s="54" t="str">
        <f aca="false">IFERROR(E71*10%,"n/a")</f>
        <v>n/a</v>
      </c>
      <c r="F72" s="54" t="str">
        <f aca="false">IFERROR(F71*10%,"n/a")</f>
        <v>n/a</v>
      </c>
    </row>
    <row r="73" customFormat="false" ht="12.8" hidden="false" customHeight="false" outlineLevel="0" collapsed="false">
      <c r="B73" s="3" t="s">
        <v>75</v>
      </c>
      <c r="C73" s="54" t="n">
        <f aca="false">IFERROR(C71*90%,"n/a")</f>
        <v>5466.132</v>
      </c>
      <c r="D73" s="54" t="n">
        <f aca="false">IFERROR(D71*90%,"n/a")</f>
        <v>447.75</v>
      </c>
      <c r="E73" s="54" t="str">
        <f aca="false">IFERROR(E71*90%,"n/a")</f>
        <v>n/a</v>
      </c>
      <c r="F73" s="54" t="str">
        <f aca="false">IFERROR(F71*90%,"n/a")</f>
        <v>n/a</v>
      </c>
    </row>
    <row r="74" customFormat="false" ht="12.8" hidden="false" customHeight="false" outlineLevel="0" collapsed="false">
      <c r="B74" s="3" t="s">
        <v>68</v>
      </c>
      <c r="C74" s="53" t="n">
        <f aca="false">C64</f>
        <v>0.003052</v>
      </c>
      <c r="D74" s="53" t="str">
        <f aca="false">D64</f>
        <v>0,025%</v>
      </c>
      <c r="E74" s="53" t="str">
        <f aca="false">E64</f>
        <v>n/a</v>
      </c>
      <c r="F74" s="53" t="str">
        <f aca="false">F64</f>
        <v>n/a</v>
      </c>
    </row>
    <row r="75" customFormat="false" ht="12.8" hidden="false" customHeight="false" outlineLevel="0" collapsed="false">
      <c r="B75" s="3" t="s">
        <v>76</v>
      </c>
      <c r="C75" s="54" t="n">
        <f aca="false">IFERROR(C72+$C$51*(C70-C74),"n/a")</f>
        <v>-540.882</v>
      </c>
      <c r="D75" s="54" t="n">
        <f aca="false">IFERROR(D72+$C$51*(D70-D74)*90%,"n/a")</f>
        <v>28.258</v>
      </c>
      <c r="E75" s="54" t="str">
        <f aca="false">IFERROR(E72+$C$51*(E70-E74),"n/a")</f>
        <v>n/a</v>
      </c>
      <c r="F75" s="54" t="str">
        <f aca="false">IFERROR(F72+$C$51*(F70-F74),"n/a")</f>
        <v>n/a</v>
      </c>
    </row>
    <row r="76" customFormat="false" ht="12.8" hidden="false" customHeight="false" outlineLevel="0" collapsed="false">
      <c r="B76" s="44" t="s">
        <v>61</v>
      </c>
      <c r="C76" s="55" t="n">
        <f aca="false">IF(F60="да",SUMIFS(C68:F68,C60:F60,"да")-SUMIFS(D68:E68,D60:E60,"да"),SUMIFS(C68:F68,C60:F60,"да"))</f>
        <v>13141.96</v>
      </c>
      <c r="D76" s="55"/>
      <c r="E76" s="55"/>
      <c r="F76" s="55"/>
    </row>
    <row r="77" customFormat="false" ht="12.8" hidden="false" customHeight="false" outlineLevel="0" collapsed="false">
      <c r="E77" s="1"/>
      <c r="F77" s="1"/>
      <c r="G77" s="1"/>
    </row>
    <row r="78" customFormat="false" ht="12.8" hidden="false" customHeight="false" outlineLevel="0" collapsed="false">
      <c r="B78" s="26" t="s">
        <v>77</v>
      </c>
      <c r="C78" s="27" t="n">
        <v>0.5</v>
      </c>
      <c r="E78" s="1"/>
      <c r="F78" s="1"/>
      <c r="G78" s="1"/>
    </row>
    <row r="79" customFormat="false" ht="12.8" hidden="false" customHeight="false" outlineLevel="0" collapsed="false">
      <c r="B79" s="44" t="s">
        <v>61</v>
      </c>
      <c r="C79" s="45" t="n">
        <f aca="false">C76*(1-C43)/(1-C78)</f>
        <v>13141.96</v>
      </c>
      <c r="E79" s="1"/>
      <c r="F79" s="21"/>
      <c r="G79" s="1"/>
    </row>
    <row r="80" customFormat="false" ht="12.8" hidden="false" customHeight="false" outlineLevel="0" collapsed="false">
      <c r="E80" s="1"/>
      <c r="F80" s="1"/>
      <c r="G80" s="1"/>
    </row>
    <row r="81" customFormat="false" ht="12.8" hidden="false" customHeight="false" outlineLevel="0" collapsed="false">
      <c r="E81" s="1"/>
      <c r="F81" s="1"/>
      <c r="G81" s="1"/>
    </row>
    <row r="82" customFormat="false" ht="12.8" hidden="false" customHeight="false" outlineLevel="0" collapsed="false">
      <c r="B82" s="5" t="s">
        <v>41</v>
      </c>
      <c r="C82" s="5"/>
      <c r="D82" s="5" t="s">
        <v>42</v>
      </c>
      <c r="E82" s="1"/>
      <c r="F82" s="1"/>
      <c r="G82" s="1"/>
    </row>
    <row r="83" customFormat="false" ht="12.8" hidden="false" customHeight="false" outlineLevel="0" collapsed="false">
      <c r="B83" s="3" t="s">
        <v>52</v>
      </c>
      <c r="C83" s="32" t="n">
        <f aca="false">C34</f>
        <v>1990000</v>
      </c>
      <c r="D83" s="30"/>
      <c r="E83" s="1"/>
      <c r="F83" s="1"/>
      <c r="G83" s="1"/>
    </row>
    <row r="84" customFormat="false" ht="12.8" hidden="false" customHeight="false" outlineLevel="0" collapsed="false">
      <c r="B84" s="3" t="s">
        <v>54</v>
      </c>
      <c r="C84" s="56" t="n">
        <f aca="false">C35</f>
        <v>0</v>
      </c>
      <c r="D84" s="30"/>
      <c r="E84" s="1"/>
      <c r="F84" s="1"/>
      <c r="G84" s="1"/>
    </row>
    <row r="85" customFormat="false" ht="12.8" hidden="false" customHeight="false" outlineLevel="0" collapsed="false">
      <c r="B85" s="3" t="s">
        <v>55</v>
      </c>
      <c r="C85" s="32" t="n">
        <f aca="false">C36</f>
        <v>1990000</v>
      </c>
      <c r="D85" s="30"/>
      <c r="E85" s="1"/>
      <c r="F85" s="1"/>
      <c r="G85" s="1"/>
    </row>
    <row r="86" customFormat="false" ht="12.8" hidden="false" customHeight="false" outlineLevel="0" collapsed="false">
      <c r="B86" s="26" t="s">
        <v>56</v>
      </c>
      <c r="C86" s="33" t="n">
        <f aca="false">C37*(1-C43)/(1-C78)</f>
        <v>0.006104</v>
      </c>
      <c r="D86" s="30" t="str">
        <f aca="false">D37</f>
        <v>Да</v>
      </c>
      <c r="E86" s="1"/>
      <c r="F86" s="1"/>
      <c r="G86" s="1"/>
    </row>
    <row r="87" customFormat="false" ht="12.8" hidden="false" customHeight="false" outlineLevel="0" collapsed="false">
      <c r="B87" s="3" t="s">
        <v>57</v>
      </c>
      <c r="C87" s="39" t="n">
        <f aca="false">IF(D86="Нет","n/a",C86*C85)</f>
        <v>12146.96</v>
      </c>
      <c r="D87" s="30"/>
      <c r="E87" s="1"/>
      <c r="F87" s="1"/>
      <c r="G87" s="1"/>
    </row>
    <row r="88" customFormat="false" ht="12.8" hidden="false" customHeight="false" outlineLevel="0" collapsed="false">
      <c r="B88" s="26" t="s">
        <v>58</v>
      </c>
      <c r="C88" s="33" t="n">
        <f aca="false">IFERROR(C39*(1-C43)/(1-C78),"n/a")</f>
        <v>0.0005</v>
      </c>
      <c r="D88" s="30" t="str">
        <f aca="false">D39</f>
        <v>Да</v>
      </c>
      <c r="E88" s="1"/>
      <c r="F88" s="1"/>
      <c r="G88" s="1"/>
    </row>
    <row r="89" customFormat="false" ht="12.8" hidden="false" customHeight="false" outlineLevel="0" collapsed="false">
      <c r="B89" s="3" t="s">
        <v>57</v>
      </c>
      <c r="C89" s="39" t="n">
        <f aca="false">IF(D88="Нет","n/a",C88*C85)</f>
        <v>995</v>
      </c>
      <c r="D89" s="30"/>
      <c r="E89" s="1"/>
      <c r="F89" s="1"/>
      <c r="G89" s="1"/>
    </row>
    <row r="90" customFormat="false" ht="12.8" hidden="false" customHeight="false" outlineLevel="0" collapsed="false">
      <c r="B90" s="26" t="s">
        <v>59</v>
      </c>
      <c r="C90" s="33" t="str">
        <f aca="false">IF(D90="нет","n/a",MAX(G90,O90))</f>
        <v>n/a</v>
      </c>
      <c r="D90" s="30" t="str">
        <f aca="false">D41</f>
        <v>Нет</v>
      </c>
      <c r="E90" s="1"/>
      <c r="F90" s="1"/>
      <c r="G90" s="1"/>
    </row>
    <row r="91" customFormat="false" ht="12.8" hidden="false" customHeight="false" outlineLevel="0" collapsed="false">
      <c r="B91" s="3" t="s">
        <v>57</v>
      </c>
      <c r="C91" s="39" t="str">
        <f aca="false">IF(D90="Нет","n/a",C90*C85)</f>
        <v>n/a</v>
      </c>
      <c r="D91" s="30"/>
      <c r="E91" s="1"/>
      <c r="F91" s="1"/>
      <c r="G91" s="1"/>
    </row>
    <row r="92" customFormat="false" ht="12.8" hidden="false" customHeight="false" outlineLevel="0" collapsed="false">
      <c r="B92" s="3" t="s">
        <v>60</v>
      </c>
      <c r="C92" s="43" t="n">
        <f aca="false">C78</f>
        <v>0.5</v>
      </c>
      <c r="D92" s="34"/>
      <c r="E92" s="1"/>
      <c r="F92" s="1"/>
      <c r="G92" s="1"/>
    </row>
    <row r="93" customFormat="false" ht="12.8" hidden="false" customHeight="false" outlineLevel="0" collapsed="false">
      <c r="B93" s="44" t="s">
        <v>61</v>
      </c>
      <c r="C93" s="45" t="n">
        <f aca="false">SUM(C87,C89,C91)</f>
        <v>13141.96</v>
      </c>
      <c r="D93" s="46"/>
      <c r="E93" s="1"/>
      <c r="F93" s="1"/>
      <c r="G93" s="1"/>
    </row>
    <row r="94" customFormat="false" ht="12.8" hidden="false" customHeight="false" outlineLevel="0" collapsed="false">
      <c r="B94" s="24"/>
    </row>
    <row r="95" customFormat="false" ht="29.15" hidden="false" customHeight="true" outlineLevel="0" collapsed="false">
      <c r="B95" s="3" t="s">
        <v>0</v>
      </c>
      <c r="C95" s="57" t="str">
        <f aca="false">C1</f>
        <v>г Москва, Волоколамское шоссе, д 71 к 4, кв 12</v>
      </c>
      <c r="D95" s="57"/>
    </row>
    <row r="96" customFormat="false" ht="12.8" hidden="false" customHeight="false" outlineLevel="0" collapsed="false">
      <c r="B96" s="24"/>
    </row>
    <row r="97" customFormat="false" ht="12.8" hidden="false" customHeight="false" outlineLevel="0" collapsed="false">
      <c r="B97" s="5" t="s">
        <v>78</v>
      </c>
      <c r="C97" s="5"/>
    </row>
    <row r="98" customFormat="false" ht="12.8" hidden="false" customHeight="false" outlineLevel="0" collapsed="false">
      <c r="B98" s="3" t="s">
        <v>79</v>
      </c>
      <c r="C98" s="15" t="s">
        <v>40</v>
      </c>
    </row>
    <row r="99" customFormat="false" ht="12.8" hidden="false" customHeight="false" outlineLevel="0" collapsed="false">
      <c r="B99" s="5" t="s">
        <v>2</v>
      </c>
      <c r="C99" s="5"/>
    </row>
    <row r="101" customFormat="false" ht="12.8" hidden="false" customHeight="false" outlineLevel="0" collapsed="false">
      <c r="B101" s="5" t="s">
        <v>3</v>
      </c>
      <c r="C101" s="5"/>
    </row>
    <row r="102" customFormat="false" ht="12.8" hidden="false" customHeight="false" outlineLevel="0" collapsed="false">
      <c r="B102" s="7" t="s">
        <v>4</v>
      </c>
      <c r="C102" s="8" t="n">
        <v>29395</v>
      </c>
    </row>
    <row r="103" customFormat="false" ht="12.8" hidden="false" customHeight="false" outlineLevel="0" collapsed="false">
      <c r="B103" s="3" t="s">
        <v>7</v>
      </c>
      <c r="C103" s="13" t="str">
        <f aca="true">VLOOKUP(ORG.OPENOFFICE.YEARS(C102,TODAY(),0),КИС!B17:E34,3,1)</f>
        <v>44-46</v>
      </c>
    </row>
    <row r="104" customFormat="false" ht="12.8" hidden="false" customHeight="false" outlineLevel="0" collapsed="false">
      <c r="B104" s="3" t="s">
        <v>8</v>
      </c>
      <c r="C104" s="15" t="s">
        <v>9</v>
      </c>
    </row>
    <row r="105" customFormat="false" ht="12.8" hidden="false" customHeight="false" outlineLevel="0" collapsed="false">
      <c r="B105" s="3" t="s">
        <v>11</v>
      </c>
      <c r="C105" s="15" t="s">
        <v>12</v>
      </c>
    </row>
    <row r="106" customFormat="false" ht="12.8" hidden="false" customHeight="false" outlineLevel="0" collapsed="false">
      <c r="B106" s="3" t="s">
        <v>13</v>
      </c>
      <c r="C106" s="15" t="s">
        <v>14</v>
      </c>
      <c r="D106" s="20"/>
    </row>
    <row r="107" customFormat="false" ht="20.85" hidden="false" customHeight="false" outlineLevel="0" collapsed="false">
      <c r="B107" s="5"/>
      <c r="C107" s="5"/>
      <c r="D107" s="20"/>
      <c r="F107" s="28" t="s">
        <v>43</v>
      </c>
      <c r="G107" s="28" t="s">
        <v>44</v>
      </c>
      <c r="H107" s="28" t="s">
        <v>45</v>
      </c>
      <c r="I107" s="28"/>
      <c r="J107" s="28" t="s">
        <v>47</v>
      </c>
      <c r="K107" s="28"/>
      <c r="L107" s="28" t="s">
        <v>49</v>
      </c>
      <c r="M107" s="28" t="s">
        <v>50</v>
      </c>
      <c r="N107" s="28" t="s">
        <v>51</v>
      </c>
    </row>
    <row r="108" customFormat="false" ht="12.8" hidden="false" customHeight="false" outlineLevel="0" collapsed="false">
      <c r="B108" s="26" t="s">
        <v>36</v>
      </c>
      <c r="C108" s="27" t="n">
        <v>-0.1</v>
      </c>
      <c r="D108" s="20"/>
    </row>
    <row r="109" customFormat="false" ht="12.8" hidden="false" customHeight="false" outlineLevel="0" collapsed="false">
      <c r="D109" s="20"/>
    </row>
    <row r="110" customFormat="false" ht="12.8" hidden="false" customHeight="false" outlineLevel="0" collapsed="false">
      <c r="B110" s="5" t="s">
        <v>41</v>
      </c>
      <c r="C110" s="5"/>
      <c r="D110" s="20"/>
      <c r="P110" s="20"/>
    </row>
    <row r="111" customFormat="false" ht="12.8" hidden="false" customHeight="false" outlineLevel="0" collapsed="false">
      <c r="B111" s="26" t="s">
        <v>56</v>
      </c>
      <c r="C111" s="58" t="n">
        <f aca="false">VLOOKUP(C103,КИС!$A$15:$L$34,IF(C104="Мужчина",11,12),0)*VLOOKUP(C106,КИС!B8:C9,2,0)*VLOOKUP(C105,КИС!B11:C12,2,0)*(1+C108)</f>
        <v>0.00224775</v>
      </c>
      <c r="F111" s="36" t="n">
        <f aca="false">VLOOKUP(C103,КИС!$A$15:$L$34,IF(C104="Мужчина",11,12),0)*VLOOKUP(C106,КИС!B8:C9,2,0)*VLOOKUP(C105,КИС!B11:C12,2,0)*(1+C27)</f>
        <v>0.0024975</v>
      </c>
      <c r="G111" s="36" t="n">
        <f aca="false">F111*(1-C43)</f>
        <v>0.00124875</v>
      </c>
      <c r="H111" s="35" t="n">
        <f aca="true">VLOOKUP(ORG.OPENOFFICE.YEARS(C102,TODAY(),0),РНПК!A1:C49,IF(C104="женщина",3,2),0)/100</f>
        <v>0.00119</v>
      </c>
      <c r="I111" s="35"/>
      <c r="J111" s="35" t="n">
        <f aca="false">IFERROR(G111-H111,"")</f>
        <v>5.87500000000002E-005</v>
      </c>
      <c r="K111" s="35"/>
      <c r="L111" s="20" t="n">
        <f aca="false">H111*$C$36</f>
        <v>2368.1</v>
      </c>
      <c r="M111" s="37" t="n">
        <f aca="false">L111/(1-C43)</f>
        <v>4736.2</v>
      </c>
      <c r="N111" s="38" t="n">
        <f aca="false">M111/C36</f>
        <v>0.00238</v>
      </c>
    </row>
    <row r="112" customFormat="false" ht="12.8" hidden="false" customHeight="false" outlineLevel="0" collapsed="false">
      <c r="B112" s="3" t="s">
        <v>57</v>
      </c>
      <c r="C112" s="59" t="n">
        <f aca="false">C36*C111</f>
        <v>4473.0225</v>
      </c>
    </row>
    <row r="113" customFormat="false" ht="12.8" hidden="false" customHeight="false" outlineLevel="0" collapsed="false">
      <c r="B113" s="44" t="s">
        <v>61</v>
      </c>
      <c r="C113" s="45" t="n">
        <f aca="false">SUMIFS(C111:C113,L111:L113,1)</f>
        <v>0</v>
      </c>
    </row>
    <row r="116" customFormat="false" ht="12.8" hidden="false" customHeight="false" outlineLevel="0" collapsed="false">
      <c r="B116" s="5" t="s">
        <v>80</v>
      </c>
      <c r="C116" s="5"/>
    </row>
    <row r="117" customFormat="false" ht="12.8" hidden="false" customHeight="false" outlineLevel="0" collapsed="false">
      <c r="B117" s="60" t="n">
        <v>0.8</v>
      </c>
      <c r="C117" s="61" t="n">
        <f aca="false">C38*B117</f>
        <v>9717.568</v>
      </c>
    </row>
    <row r="118" customFormat="false" ht="12.8" hidden="false" customHeight="false" outlineLevel="0" collapsed="false">
      <c r="B118" s="60" t="n">
        <v>0.2</v>
      </c>
      <c r="C118" s="61" t="n">
        <f aca="false">C112*B118</f>
        <v>894.6045</v>
      </c>
    </row>
    <row r="119" customFormat="false" ht="12.8" hidden="false" customHeight="false" outlineLevel="0" collapsed="false">
      <c r="B119" s="62" t="str">
        <f aca="false">B36</f>
        <v>Страховая сумма</v>
      </c>
      <c r="C119" s="61" t="n">
        <f aca="false">C36</f>
        <v>1990000</v>
      </c>
    </row>
    <row r="120" customFormat="false" ht="12.8" hidden="false" customHeight="false" outlineLevel="0" collapsed="false">
      <c r="B120" s="63" t="s">
        <v>81</v>
      </c>
      <c r="C120" s="64" t="n">
        <f aca="false">SUM(C117:C118)</f>
        <v>10612.1725</v>
      </c>
    </row>
    <row r="121" customFormat="false" ht="12.8" hidden="false" customHeight="false" outlineLevel="0" collapsed="false">
      <c r="B121" s="63" t="s">
        <v>82</v>
      </c>
      <c r="C121" s="65" t="n">
        <f aca="false">C40</f>
        <v>995</v>
      </c>
    </row>
    <row r="122" customFormat="false" ht="12.8" hidden="false" customHeight="false" outlineLevel="0" collapsed="false">
      <c r="B122" s="3" t="s">
        <v>60</v>
      </c>
      <c r="C122" s="43" t="n">
        <f aca="false">C43</f>
        <v>0.5</v>
      </c>
    </row>
    <row r="123" customFormat="false" ht="12.8" hidden="false" customHeight="false" outlineLevel="0" collapsed="false">
      <c r="B123" s="44" t="s">
        <v>61</v>
      </c>
      <c r="C123" s="45" t="n">
        <f aca="false">SUM(C120:C121)</f>
        <v>11607.1725</v>
      </c>
    </row>
    <row r="128" customFormat="false" ht="12.8" hidden="false" customHeight="false" outlineLevel="0" collapsed="false">
      <c r="E128" s="2" t="s">
        <v>83</v>
      </c>
      <c r="H128" s="1" t="s">
        <v>45</v>
      </c>
    </row>
    <row r="129" customFormat="false" ht="12.8" hidden="false" customHeight="false" outlineLevel="0" collapsed="false">
      <c r="A129" s="1" t="s">
        <v>84</v>
      </c>
      <c r="B129" s="66" t="n">
        <v>45988</v>
      </c>
      <c r="C129" s="66" t="n">
        <v>46352</v>
      </c>
      <c r="E129" s="36" t="n">
        <f aca="false">G37</f>
        <v>0.00495</v>
      </c>
      <c r="F129" s="36"/>
      <c r="G129" s="36"/>
      <c r="H129" s="21" t="n">
        <f aca="true">VLOOKUP(ORG.OPENOFFICE.YEARS($C$6,TODAY(),0),РНПК!$A$1:$C$49,IF($C$9="женщина",3,2),0)/100</f>
        <v>0.003052</v>
      </c>
      <c r="I129" s="21"/>
      <c r="J129" s="66" t="str">
        <f aca="true">VLOOKUP(ORG.OPENOFFICE.YEARS($C$6,TODAY(),0),КИС!B17:E34,3,1)</f>
        <v>56-58</v>
      </c>
      <c r="K129" s="66"/>
    </row>
    <row r="130" customFormat="false" ht="12.8" hidden="false" customHeight="false" outlineLevel="0" collapsed="false">
      <c r="A130" s="1" t="n">
        <v>1</v>
      </c>
      <c r="B130" s="66" t="n">
        <f aca="false">DATE(YEAR(B129)+1,MONTH(B129),DAY(B129))</f>
        <v>46353</v>
      </c>
      <c r="C130" s="66" t="n">
        <f aca="false">DATE(YEAR(C129)+1,MONTH(C129),DAY(C129))</f>
        <v>46717</v>
      </c>
      <c r="E130" s="36" t="n">
        <f aca="false">IF(D37="нет","n/a",VLOOKUP(J130,КИС!$A$15:$L$34,IF(C9="Мужчина",11,12),0)*VLOOKUP(C11,КИС!B8:C9,2,0)*VLOOKUP(C10,КИС!B11:C12,2,0)*(1+C27))</f>
        <v>0.0054</v>
      </c>
      <c r="F130" s="36"/>
      <c r="G130" s="36"/>
      <c r="H130" s="21" t="n">
        <f aca="true">VLOOKUP(ORG.OPENOFFICE.YEARS($C$6-365*A130,TODAY(),0),РНПК!$A$1:$C$49,IF($C$9="женщина",3,2),0)/100</f>
        <v>0.003374</v>
      </c>
      <c r="I130" s="21"/>
      <c r="J130" s="66" t="str">
        <f aca="true">VLOOKUP(ORG.OPENOFFICE.YEARS($C$6-365*A130,TODAY(),0),КИС!B17:E34,3,1)</f>
        <v>59-63</v>
      </c>
      <c r="K130" s="66"/>
    </row>
    <row r="131" customFormat="false" ht="12.8" hidden="false" customHeight="false" outlineLevel="0" collapsed="false">
      <c r="A131" s="1" t="n">
        <v>2</v>
      </c>
      <c r="B131" s="66" t="n">
        <f aca="false">DATE(YEAR(B130)+1,MONTH(B130),DAY(B130))</f>
        <v>46718</v>
      </c>
      <c r="C131" s="66" t="n">
        <f aca="false">DATE(YEAR(C130)+1,MONTH(C130),DAY(C130))</f>
        <v>47083</v>
      </c>
      <c r="E131" s="36" t="n">
        <f aca="false">IF(D37="нет","n/a",VLOOKUP(J131,КИС!$A$15:$L$34,IF(C9="Мужчина",11,12),0)*VLOOKUP(C11,КИС!B8:C9,2,0)*VLOOKUP(C10,КИС!B11:C12,2,0)*(1+C27))</f>
        <v>0.0054</v>
      </c>
      <c r="F131" s="36"/>
      <c r="G131" s="36"/>
      <c r="H131" s="21" t="n">
        <f aca="true">VLOOKUP(ORG.OPENOFFICE.YEARS($C$6-365*A131,TODAY(),0),РНПК!$A$1:$C$49,IF($C$9="женщина",3,2),0)/100</f>
        <v>0.003738</v>
      </c>
      <c r="I131" s="21"/>
      <c r="J131" s="66" t="str">
        <f aca="true">VLOOKUP(ORG.OPENOFFICE.YEARS($C$6-365*A131,TODAY(),0),КИС!B18:E35,3,1)</f>
        <v>59-63</v>
      </c>
      <c r="K131" s="66"/>
    </row>
    <row r="132" customFormat="false" ht="12.8" hidden="false" customHeight="false" outlineLevel="0" collapsed="false">
      <c r="A132" s="1" t="n">
        <v>3</v>
      </c>
      <c r="B132" s="66" t="n">
        <f aca="false">DATE(YEAR(B131)+1,MONTH(B131),DAY(B131))</f>
        <v>47084</v>
      </c>
      <c r="C132" s="66" t="n">
        <f aca="false">DATE(YEAR(C131)+1,MONTH(C131),DAY(C131))</f>
        <v>47448</v>
      </c>
      <c r="E132" s="36" t="n">
        <f aca="false">IF(D37="нет","n/a",VLOOKUP(J132,КИС!$A$15:$L$34,IF(C9="Мужчина",11,12),0)*VLOOKUP(C11,КИС!B8:C9,2,0)*VLOOKUP(C10,КИС!B11:C12,2,0)*(1+C27))</f>
        <v>0.0054</v>
      </c>
      <c r="F132" s="36"/>
      <c r="G132" s="36"/>
      <c r="H132" s="21" t="n">
        <f aca="true">VLOOKUP(ORG.OPENOFFICE.YEARS($C$6-365*A132,TODAY(),0),РНПК!$A$1:$C$49,IF($C$9="женщина",3,2),0)/100</f>
        <v>0.00413</v>
      </c>
      <c r="I132" s="21"/>
      <c r="J132" s="66" t="str">
        <f aca="true">VLOOKUP(ORG.OPENOFFICE.YEARS($C$6-365*A132,TODAY(),0),КИС!B19:E36,3,1)</f>
        <v>59-63</v>
      </c>
      <c r="K132" s="66"/>
    </row>
    <row r="133" customFormat="false" ht="12.8" hidden="false" customHeight="false" outlineLevel="0" collapsed="false">
      <c r="A133" s="1" t="n">
        <v>4</v>
      </c>
      <c r="B133" s="66" t="n">
        <f aca="false">DATE(YEAR(B132)+1,MONTH(B132),DAY(B132))</f>
        <v>47449</v>
      </c>
      <c r="C133" s="66" t="n">
        <f aca="false">DATE(YEAR(C132)+1,MONTH(C132),DAY(C132))</f>
        <v>47813</v>
      </c>
      <c r="E133" s="36" t="n">
        <f aca="false">IF(D37="нет","n/a",VLOOKUP(J133,КИС!$A$15:$L$34,IF(C9="Мужчина",11,12),0)*VLOOKUP(C11,КИС!B8:C9,2,0)*VLOOKUP(C10,КИС!B11:C12,2,0)*(1+C27))</f>
        <v>0.0054</v>
      </c>
      <c r="F133" s="36"/>
      <c r="G133" s="36"/>
      <c r="H133" s="21" t="n">
        <f aca="true">VLOOKUP(ORG.OPENOFFICE.YEARS($C$6-365*A133,TODAY(),0),РНПК!$A$1:$C$49,IF($C$9="женщина",3,2),0)/100</f>
        <v>0.004578</v>
      </c>
      <c r="I133" s="21"/>
      <c r="J133" s="66" t="str">
        <f aca="true">VLOOKUP(ORG.OPENOFFICE.YEARS($C$6-365*A133,TODAY(),0),КИС!B20:E37,3,1)</f>
        <v>59-63</v>
      </c>
      <c r="K133" s="66"/>
    </row>
    <row r="134" customFormat="false" ht="12.8" hidden="false" customHeight="false" outlineLevel="0" collapsed="false">
      <c r="A134" s="1" t="n">
        <v>5</v>
      </c>
      <c r="B134" s="66" t="n">
        <f aca="false">DATE(YEAR(B133)+1,MONTH(B133),DAY(B133))</f>
        <v>47814</v>
      </c>
      <c r="C134" s="66" t="n">
        <f aca="false">DATE(YEAR(C133)+1,MONTH(C133),DAY(C133))</f>
        <v>48178</v>
      </c>
      <c r="E134" s="36" t="n">
        <f aca="false">IF(D37="нет","n/a",VLOOKUP(J134,КИС!$A$15:$L$34,IF(C9="Мужчина",11,12),0)*VLOOKUP(C11,КИС!B8:C9,2,0)*VLOOKUP(C10,КИС!B11:C12,2,0)*(1+C27))</f>
        <v>0.0054</v>
      </c>
      <c r="F134" s="36"/>
      <c r="G134" s="36"/>
      <c r="H134" s="21" t="n">
        <f aca="true">VLOOKUP(ORG.OPENOFFICE.YEARS($C$6-365*A134,TODAY(),0),РНПК!$A$1:$C$49,IF($C$9="женщина",3,2),0)/100</f>
        <v>0.005054</v>
      </c>
      <c r="I134" s="21"/>
      <c r="J134" s="66" t="str">
        <f aca="true">VLOOKUP(ORG.OPENOFFICE.YEARS($C$6-365*A134,TODAY(),0),КИС!B21:E38,3,1)</f>
        <v>59-63</v>
      </c>
      <c r="K134" s="66"/>
    </row>
    <row r="135" customFormat="false" ht="12.8" hidden="false" customHeight="false" outlineLevel="0" collapsed="false">
      <c r="A135" s="1" t="n">
        <v>6</v>
      </c>
      <c r="B135" s="66" t="n">
        <f aca="false">DATE(YEAR(B134)+1,MONTH(B134),DAY(B134))</f>
        <v>48179</v>
      </c>
      <c r="C135" s="66" t="n">
        <f aca="false">DATE(YEAR(C134)+1,MONTH(C134),DAY(C134))</f>
        <v>48544</v>
      </c>
      <c r="E135" s="36" t="n">
        <f aca="false">IF(D37="нет","n/a",VLOOKUP(J135,КИС!$A$15:$L$34,IF(C9="Мужчина",11,12),0)*VLOOKUP(C11,КИС!B8:C9,2,0)*VLOOKUP(C10,КИС!B11:C12,2,0)*(1+C27))</f>
        <v>0.00585</v>
      </c>
      <c r="F135" s="36"/>
      <c r="G135" s="36"/>
      <c r="H135" s="21" t="n">
        <f aca="true">VLOOKUP(ORG.OPENOFFICE.YEARS($C$6-365*A135,TODAY(),0),РНПК!$A$1:$C$49,IF($C$9="женщина",3,2),0)/100</f>
        <v>0.0056</v>
      </c>
      <c r="I135" s="21"/>
      <c r="J135" s="66" t="str">
        <f aca="true">VLOOKUP(ORG.OPENOFFICE.YEARS($C$6-365*A135,TODAY(),0),КИС!B22:E39,3,1)</f>
        <v>64-65</v>
      </c>
      <c r="K135" s="66"/>
    </row>
    <row r="136" customFormat="false" ht="12.8" hidden="false" customHeight="false" outlineLevel="0" collapsed="false">
      <c r="A136" s="1" t="n">
        <v>7</v>
      </c>
      <c r="B136" s="66" t="n">
        <f aca="false">DATE(YEAR(B135)+1,MONTH(B135),DAY(B135))</f>
        <v>48545</v>
      </c>
      <c r="C136" s="66" t="n">
        <f aca="false">DATE(YEAR(C135)+1,MONTH(C135),DAY(C135))</f>
        <v>48909</v>
      </c>
      <c r="E136" s="36" t="n">
        <f aca="false">IF(D37="нет","n/a",VLOOKUP(J136,КИС!$A$15:$L$34,IF(C9="Мужчина",11,12),0)*VLOOKUP(C11,КИС!B8:C9,2,0)*VLOOKUP(C10,КИС!B11:C12,2,0)*(1+C27))</f>
        <v>0.00585</v>
      </c>
      <c r="F136" s="36"/>
      <c r="G136" s="36"/>
      <c r="H136" s="21" t="n">
        <f aca="true">VLOOKUP(ORG.OPENOFFICE.YEARS($C$6-365*A136,TODAY(),0),РНПК!$A$1:$C$49,IF($C$9="женщина",3,2),0)/100</f>
        <v>0.006188</v>
      </c>
      <c r="I136" s="21"/>
      <c r="J136" s="66" t="str">
        <f aca="true">VLOOKUP(ORG.OPENOFFICE.YEARS($C$6-365*A136,TODAY(),0),КИС!B23:E40,3,1)</f>
        <v>64-65</v>
      </c>
      <c r="K136" s="66"/>
    </row>
    <row r="137" customFormat="false" ht="12.8" hidden="false" customHeight="false" outlineLevel="0" collapsed="false">
      <c r="A137" s="1" t="n">
        <v>8</v>
      </c>
      <c r="B137" s="66" t="n">
        <f aca="false">DATE(YEAR(B136)+1,MONTH(B136),DAY(B136))</f>
        <v>48910</v>
      </c>
      <c r="C137" s="66" t="n">
        <f aca="false">DATE(YEAR(C136)+1,MONTH(C136),DAY(C136))</f>
        <v>49274</v>
      </c>
      <c r="E137" s="36" t="n">
        <f aca="false">IF(D37="нет","n/a",VLOOKUP(J137,КИС!$A$15:$L$34,IF(C9="Мужчина",11,12),0)*VLOOKUP(C11,КИС!B8:C9,2,0)*VLOOKUP(C10,КИС!B11:C12,2,0)*(1+C27))</f>
        <v>0.00585</v>
      </c>
      <c r="F137" s="36"/>
      <c r="G137" s="36"/>
      <c r="H137" s="21" t="e">
        <f aca="true">VLOOKUP(ORG.OPENOFFICE.YEARS($C$6-365*A137,TODAY(),0),РНПК!$A$1:$C$49,IF($C$9="женщина",3,2),0)/100</f>
        <v>#N/A</v>
      </c>
      <c r="I137" s="21"/>
      <c r="J137" s="66" t="str">
        <f aca="true">VLOOKUP(ORG.OPENOFFICE.YEARS($C$6-365*A137,TODAY(),0),КИС!B24:E41,3,1)</f>
        <v>64-65</v>
      </c>
      <c r="K137" s="66"/>
    </row>
    <row r="138" customFormat="false" ht="12.8" hidden="false" customHeight="false" outlineLevel="0" collapsed="false">
      <c r="A138" s="1" t="n">
        <v>9</v>
      </c>
      <c r="B138" s="66" t="n">
        <f aca="false">DATE(YEAR(B137)+1,MONTH(B137),DAY(B137))</f>
        <v>49275</v>
      </c>
      <c r="C138" s="66" t="n">
        <f aca="false">DATE(YEAR(C137)+1,MONTH(C137),DAY(C137))</f>
        <v>49639</v>
      </c>
      <c r="E138" s="36" t="n">
        <f aca="false">IF(D37="нет","n/a",VLOOKUP(J138,КИС!$A$15:$L$34,IF(C9="Мужчина",11,12),0)*VLOOKUP(C11,КИС!B8:C9,2,0)*VLOOKUP(C10,КИС!B11:C12,2,0)*(1+C27))</f>
        <v>0.00585</v>
      </c>
      <c r="F138" s="36"/>
      <c r="G138" s="36"/>
      <c r="H138" s="21" t="e">
        <f aca="true">VLOOKUP(ORG.OPENOFFICE.YEARS($C$6-365*A138,TODAY(),0),РНПК!$A$1:$C$49,IF($C$9="женщина",3,2),0)/100</f>
        <v>#N/A</v>
      </c>
      <c r="I138" s="21"/>
      <c r="J138" s="66" t="str">
        <f aca="true">VLOOKUP(ORG.OPENOFFICE.YEARS($C$6-365*A138,TODAY(),0),КИС!B25:E42,3,1)</f>
        <v>64-65</v>
      </c>
      <c r="K138" s="66"/>
    </row>
    <row r="139" customFormat="false" ht="12.8" hidden="false" customHeight="false" outlineLevel="0" collapsed="false">
      <c r="A139" s="1" t="n">
        <v>10</v>
      </c>
      <c r="B139" s="66" t="n">
        <f aca="false">DATE(YEAR(B138)+1,MONTH(B138),DAY(B138))</f>
        <v>49640</v>
      </c>
      <c r="C139" s="66" t="n">
        <f aca="false">DATE(YEAR(C138)+1,MONTH(C138),DAY(C138))</f>
        <v>50005</v>
      </c>
      <c r="E139" s="36" t="n">
        <f aca="false">IF(D37="нет","n/a",VLOOKUP(J139,КИС!$A$15:$L$34,IF(C9="Мужчина",11,12),0)*VLOOKUP(C11,КИС!B8:C9,2,0)*VLOOKUP(C10,КИС!B11:C12,2,0)*(1+C27))</f>
        <v>0.00585</v>
      </c>
      <c r="F139" s="36"/>
      <c r="G139" s="36"/>
      <c r="H139" s="21" t="e">
        <f aca="true">VLOOKUP(ORG.OPENOFFICE.YEARS($C$6-365*A139,TODAY(),0),РНПК!$A$1:$C$49,IF($C$9="женщина",3,2),0)/100</f>
        <v>#N/A</v>
      </c>
      <c r="I139" s="21"/>
      <c r="J139" s="66" t="str">
        <f aca="true">VLOOKUP(ORG.OPENOFFICE.YEARS($C$6-365*A139,TODAY(),0),КИС!B26:E43,3,1)</f>
        <v>64-65</v>
      </c>
      <c r="K139" s="66"/>
    </row>
    <row r="140" customFormat="false" ht="12.8" hidden="false" customHeight="false" outlineLevel="0" collapsed="false">
      <c r="A140" s="1" t="n">
        <v>11</v>
      </c>
      <c r="B140" s="66" t="n">
        <f aca="false">DATE(YEAR(B139)+1,MONTH(B139),DAY(B139))</f>
        <v>50006</v>
      </c>
      <c r="C140" s="66" t="n">
        <f aca="false">DATE(YEAR(C139)+1,MONTH(C139),DAY(C139))</f>
        <v>50370</v>
      </c>
      <c r="E140" s="36" t="n">
        <f aca="false">IF(D37="нет","n/a",VLOOKUP(J140,КИС!$A$15:$L$34,IF(C9="Мужчина",11,12),0)*VLOOKUP(C11,КИС!B8:C9,2,0)*VLOOKUP(C10,КИС!B11:C12,2,0)*(1+C27))</f>
        <v>0.00585</v>
      </c>
      <c r="F140" s="36"/>
      <c r="G140" s="36"/>
      <c r="H140" s="21" t="e">
        <f aca="true">VLOOKUP(ORG.OPENOFFICE.YEARS($C$6-365*A140,TODAY(),0),РНПК!$A$1:$C$49,IF($C$9="женщина",3,2),0)/100</f>
        <v>#N/A</v>
      </c>
      <c r="I140" s="21"/>
      <c r="J140" s="66" t="str">
        <f aca="true">VLOOKUP(ORG.OPENOFFICE.YEARS($C$6-365*A140,TODAY(),0),КИС!B27:E44,3,1)</f>
        <v>64-65</v>
      </c>
      <c r="K140" s="66"/>
    </row>
    <row r="141" customFormat="false" ht="12.8" hidden="false" customHeight="false" outlineLevel="0" collapsed="false">
      <c r="A141" s="1" t="n">
        <v>12</v>
      </c>
      <c r="B141" s="66" t="n">
        <f aca="false">DATE(YEAR(B140)+1,MONTH(B140),DAY(B140))</f>
        <v>50371</v>
      </c>
      <c r="C141" s="66" t="n">
        <f aca="false">DATE(YEAR(C140)+1,MONTH(C140),DAY(C140))</f>
        <v>50735</v>
      </c>
      <c r="E141" s="36" t="n">
        <f aca="false">IF(D37="нет","n/a",VLOOKUP(J141,КИС!$A$15:$L$34,IF(C9="Мужчина",11,12),0)*VLOOKUP(C11,КИС!B8:C9,2,0)*VLOOKUP(C10,КИС!B11:C12,2,0)*(1+C27))</f>
        <v>0.00585</v>
      </c>
      <c r="F141" s="36"/>
      <c r="G141" s="36"/>
      <c r="H141" s="21" t="e">
        <f aca="true">VLOOKUP(ORG.OPENOFFICE.YEARS($C$6-365*A141,TODAY(),0),РНПК!$A$1:$C$49,IF($C$9="женщина",3,2),0)/100</f>
        <v>#N/A</v>
      </c>
      <c r="I141" s="21"/>
      <c r="J141" s="66" t="str">
        <f aca="true">VLOOKUP(ORG.OPENOFFICE.YEARS($C$6-365*A141,TODAY(),0),КИС!B28:E45,3,1)</f>
        <v>64-65</v>
      </c>
      <c r="K141" s="66"/>
    </row>
    <row r="142" customFormat="false" ht="12.8" hidden="false" customHeight="false" outlineLevel="0" collapsed="false">
      <c r="A142" s="1" t="n">
        <v>13</v>
      </c>
      <c r="B142" s="66" t="n">
        <f aca="false">DATE(YEAR(B141)+1,MONTH(B141),DAY(B141))</f>
        <v>50736</v>
      </c>
      <c r="C142" s="66" t="n">
        <f aca="false">DATE(YEAR(C141)+1,MONTH(C141),DAY(C141))</f>
        <v>51100</v>
      </c>
      <c r="E142" s="36" t="n">
        <f aca="false">IF(D37="нет","n/a",VLOOKUP(J142,КИС!$A$15:$L$34,IF(C9="Мужчина",11,12),0)*VLOOKUP(C11,КИС!B8:C9,2,0)*VLOOKUP(C10,КИС!B11:C12,2,0)*(1+C27))</f>
        <v>0.00585</v>
      </c>
      <c r="F142" s="36"/>
      <c r="G142" s="36"/>
      <c r="H142" s="21" t="e">
        <f aca="true">VLOOKUP(ORG.OPENOFFICE.YEARS($C$6-365*A142,TODAY(),0),РНПК!$A$1:$C$49,IF($C$9="женщина",3,2),0)/100</f>
        <v>#N/A</v>
      </c>
      <c r="I142" s="21"/>
      <c r="J142" s="66" t="str">
        <f aca="true">VLOOKUP(ORG.OPENOFFICE.YEARS($C$6-365*A142,TODAY(),0),КИС!B29:E46,3,1)</f>
        <v>64-65</v>
      </c>
      <c r="K142" s="66"/>
    </row>
    <row r="143" customFormat="false" ht="12.8" hidden="false" customHeight="false" outlineLevel="0" collapsed="false">
      <c r="A143" s="1" t="n">
        <v>14</v>
      </c>
      <c r="B143" s="66" t="n">
        <f aca="false">DATE(YEAR(B142)+1,MONTH(B142),DAY(B142))</f>
        <v>51101</v>
      </c>
      <c r="C143" s="66" t="n">
        <f aca="false">DATE(YEAR(C142)+1,MONTH(C142),DAY(C142))</f>
        <v>51466</v>
      </c>
      <c r="E143" s="36" t="n">
        <f aca="false">IF(D37="нет","n/a",VLOOKUP(J143,КИС!$A$15:$L$34,IF(C9="Мужчина",11,12),0)*VLOOKUP(C11,КИС!B8:C9,2,0)*VLOOKUP(C10,КИС!B11:C12,2,0)*(1+C27))</f>
        <v>0.00585</v>
      </c>
      <c r="F143" s="36"/>
      <c r="G143" s="36"/>
      <c r="H143" s="21" t="e">
        <f aca="true">VLOOKUP(ORG.OPENOFFICE.YEARS($C$6-365*A143,TODAY(),0),РНПК!$A$1:$C$49,IF($C$9="женщина",3,2),0)/100</f>
        <v>#N/A</v>
      </c>
      <c r="I143" s="21"/>
      <c r="J143" s="66" t="str">
        <f aca="true">VLOOKUP(ORG.OPENOFFICE.YEARS($C$6-365*A143,TODAY(),0),КИС!B30:E47,3,1)</f>
        <v>64-65</v>
      </c>
      <c r="K143" s="66"/>
    </row>
    <row r="144" customFormat="false" ht="12.8" hidden="false" customHeight="false" outlineLevel="0" collapsed="false">
      <c r="A144" s="1" t="n">
        <v>15</v>
      </c>
      <c r="B144" s="66" t="n">
        <f aca="false">DATE(YEAR(B143)+1,MONTH(B143),DAY(B143))</f>
        <v>51467</v>
      </c>
      <c r="C144" s="66" t="n">
        <f aca="false">DATE(YEAR(C143)+1,MONTH(C143),DAY(C143))</f>
        <v>51831</v>
      </c>
      <c r="E144" s="36" t="n">
        <f aca="false">IF(D37="нет","n/a",VLOOKUP(J144,КИС!$A$15:$L$34,IF(C9="Мужчина",11,12),0)*VLOOKUP(C11,КИС!B8:C9,2,0)*VLOOKUP(C10,КИС!B11:C12,2,0)*(1+C27))</f>
        <v>0.00585</v>
      </c>
      <c r="F144" s="36"/>
      <c r="G144" s="36"/>
      <c r="H144" s="21" t="e">
        <f aca="true">VLOOKUP(ORG.OPENOFFICE.YEARS($C$6-365*A144,TODAY(),0),РНПК!$A$1:$C$49,IF($C$9="женщина",3,2),0)/100</f>
        <v>#N/A</v>
      </c>
      <c r="I144" s="21"/>
      <c r="J144" s="66" t="str">
        <f aca="true">VLOOKUP(ORG.OPENOFFICE.YEARS($C$6-365*A144,TODAY(),0),КИС!B31:E48,3,1)</f>
        <v>64-65</v>
      </c>
      <c r="K144" s="66"/>
    </row>
    <row r="145" customFormat="false" ht="12.8" hidden="false" customHeight="false" outlineLevel="0" collapsed="false">
      <c r="A145" s="1" t="n">
        <v>16</v>
      </c>
      <c r="B145" s="66" t="n">
        <f aca="false">DATE(YEAR(B144)+1,MONTH(B144),DAY(B144))</f>
        <v>51832</v>
      </c>
      <c r="C145" s="66" t="n">
        <f aca="false">DATE(YEAR(C144)+1,MONTH(C144),DAY(C144))</f>
        <v>52196</v>
      </c>
      <c r="E145" s="36" t="n">
        <f aca="false">IF(D37="нет","n/a",VLOOKUP(J145,КИС!$A$15:$L$34,IF(C9="Мужчина",11,12),0)*VLOOKUP(C11,КИС!B8:C9,2,0)*VLOOKUP(C10,КИС!B11:C12,2,0)*(1+C27))</f>
        <v>0.00585</v>
      </c>
      <c r="F145" s="36"/>
      <c r="G145" s="36"/>
      <c r="H145" s="21" t="e">
        <f aca="true">VLOOKUP(ORG.OPENOFFICE.YEARS($C$6-365*A145,TODAY(),0),РНПК!$A$1:$C$49,IF($C$9="женщина",3,2),0)/100</f>
        <v>#N/A</v>
      </c>
      <c r="I145" s="21"/>
      <c r="J145" s="66" t="str">
        <f aca="true">VLOOKUP(ORG.OPENOFFICE.YEARS($C$6-365*A145,TODAY(),0),КИС!B32:E49,3,1)</f>
        <v>64-65</v>
      </c>
      <c r="K145" s="66"/>
    </row>
    <row r="146" customFormat="false" ht="12.8" hidden="false" customHeight="false" outlineLevel="0" collapsed="false">
      <c r="A146" s="1" t="n">
        <v>17</v>
      </c>
      <c r="B146" s="66" t="n">
        <f aca="false">DATE(YEAR(B145)+1,MONTH(B145),DAY(B145))</f>
        <v>52197</v>
      </c>
      <c r="C146" s="66" t="n">
        <f aca="false">DATE(YEAR(C145)+1,MONTH(C145),DAY(C145))</f>
        <v>52561</v>
      </c>
      <c r="E146" s="36" t="n">
        <f aca="false">IF(D37="нет","n/a",VLOOKUP(J146,КИС!$A$15:$L$34,IF(C9="Мужчина",11,12),0)*VLOOKUP(C11,КИС!B8:C9,2,0)*VLOOKUP(C10,КИС!B11:C12,2,0)*(1+C27))</f>
        <v>0.00585</v>
      </c>
      <c r="F146" s="36"/>
      <c r="G146" s="36"/>
      <c r="H146" s="21" t="e">
        <f aca="true">VLOOKUP(ORG.OPENOFFICE.YEARS($C$6-365*A146,TODAY(),0),РНПК!$A$1:$C$49,IF($C$9="женщина",3,2),0)/100</f>
        <v>#N/A</v>
      </c>
      <c r="I146" s="21"/>
      <c r="J146" s="66" t="str">
        <f aca="true">VLOOKUP(ORG.OPENOFFICE.YEARS($C$6-365*A146,TODAY(),0),КИС!B33:E50,3,1)</f>
        <v>64-65</v>
      </c>
      <c r="K146" s="66"/>
    </row>
    <row r="147" customFormat="false" ht="12.8" hidden="false" customHeight="false" outlineLevel="0" collapsed="false">
      <c r="A147" s="1" t="n">
        <v>18</v>
      </c>
      <c r="B147" s="66" t="n">
        <f aca="false">DATE(YEAR(B146)+1,MONTH(B146),DAY(B146))</f>
        <v>52562</v>
      </c>
      <c r="C147" s="66" t="n">
        <f aca="false">DATE(YEAR(C146)+1,MONTH(C146),DAY(C146))</f>
        <v>52927</v>
      </c>
      <c r="E147" s="36" t="n">
        <f aca="false">IF(D37="нет","n/a",VLOOKUP(J147,КИС!$A$15:$L$34,IF(C9="Мужчина",11,12),0)*VLOOKUP(C11,КИС!B8:C9,2,0)*VLOOKUP(C10,КИС!B11:C12,2,0)*(1+C27))</f>
        <v>0.00585</v>
      </c>
      <c r="F147" s="36"/>
      <c r="G147" s="36"/>
      <c r="H147" s="21" t="e">
        <f aca="true">VLOOKUP(ORG.OPENOFFICE.YEARS($C$6-365*A147,TODAY(),0),РНПК!$A$1:$C$49,IF($C$9="женщина",3,2),0)/100</f>
        <v>#N/A</v>
      </c>
      <c r="I147" s="21"/>
      <c r="J147" s="66" t="str">
        <f aca="true">VLOOKUP(ORG.OPENOFFICE.YEARS($C$6-365*A147,TODAY(),0),КИС!B34:E51,3,1)</f>
        <v>64-65</v>
      </c>
      <c r="K147" s="66"/>
    </row>
    <row r="148" customFormat="false" ht="12.8" hidden="false" customHeight="false" outlineLevel="0" collapsed="false">
      <c r="A148" s="1" t="n">
        <v>19</v>
      </c>
      <c r="B148" s="66" t="n">
        <f aca="false">DATE(YEAR(B147)+1,MONTH(B147),DAY(B147))</f>
        <v>52928</v>
      </c>
      <c r="C148" s="66" t="n">
        <f aca="false">DATE(YEAR(C147)+1,MONTH(C147),DAY(C147))</f>
        <v>53292</v>
      </c>
      <c r="E148" s="36" t="e">
        <f aca="false">IF(D37="нет","n/a",VLOOKUP(J148,КИС!$A$15:$L$34,IF(C9="Мужчина",11,12),0)*VLOOKUP(C11,КИС!B8:C9,2,0)*VLOOKUP(C10,КИС!B11:C12,2,0)*(1+C27))</f>
        <v>#N/A</v>
      </c>
      <c r="F148" s="36"/>
      <c r="G148" s="36"/>
      <c r="H148" s="21" t="e">
        <f aca="true">VLOOKUP(ORG.OPENOFFICE.YEARS($C$6-365*A148,TODAY(),0),РНПК!$A$1:$C$49,IF($C$9="женщина",3,2),0)/100</f>
        <v>#N/A</v>
      </c>
      <c r="I148" s="21"/>
      <c r="J148" s="66" t="e">
        <f aca="true">VLOOKUP(ORG.OPENOFFICE.YEARS($C$6-365*A148,TODAY(),0),КИС!B35:E52,3,1)</f>
        <v>#N/A</v>
      </c>
      <c r="K148" s="66"/>
    </row>
    <row r="149" customFormat="false" ht="12.8" hidden="false" customHeight="false" outlineLevel="0" collapsed="false">
      <c r="A149" s="1" t="n">
        <v>20</v>
      </c>
      <c r="B149" s="66" t="n">
        <f aca="false">DATE(YEAR(B148)+1,MONTH(B148),DAY(B148))</f>
        <v>53293</v>
      </c>
      <c r="C149" s="66" t="n">
        <f aca="false">DATE(YEAR(C148)+1,MONTH(C148),DAY(C148))</f>
        <v>53657</v>
      </c>
      <c r="E149" s="36" t="e">
        <f aca="false">IF(D37="нет","n/a",VLOOKUP(J149,КИС!$A$15:$L$34,IF(C9="Мужчина",11,12),0)*VLOOKUP(C11,КИС!B8:C9,2,0)*VLOOKUP(C10,КИС!B11:C12,2,0)*(1+C27))</f>
        <v>#N/A</v>
      </c>
      <c r="F149" s="36"/>
      <c r="G149" s="36"/>
      <c r="H149" s="21" t="e">
        <f aca="true">VLOOKUP(ORG.OPENOFFICE.YEARS($C$6-365*A149,TODAY(),0),РНПК!$A$1:$C$49,IF($C$9="женщина",3,2),0)/100</f>
        <v>#N/A</v>
      </c>
      <c r="I149" s="21"/>
      <c r="J149" s="66" t="e">
        <f aca="true">VLOOKUP(ORG.OPENOFFICE.YEARS($C$6-365*A149,TODAY(),0),КИС!B36:E53,3,1)</f>
        <v>#N/A</v>
      </c>
      <c r="K149" s="66"/>
    </row>
  </sheetData>
  <mergeCells count="26">
    <mergeCell ref="C1:D1"/>
    <mergeCell ref="B3:C3"/>
    <mergeCell ref="B5:C5"/>
    <mergeCell ref="B26:C26"/>
    <mergeCell ref="B33:C33"/>
    <mergeCell ref="D41:D42"/>
    <mergeCell ref="B48:F48"/>
    <mergeCell ref="C49:F49"/>
    <mergeCell ref="C50:F50"/>
    <mergeCell ref="C51:F51"/>
    <mergeCell ref="C52:F52"/>
    <mergeCell ref="C53:F53"/>
    <mergeCell ref="C54:F54"/>
    <mergeCell ref="C55:F55"/>
    <mergeCell ref="C56:F56"/>
    <mergeCell ref="C57:F57"/>
    <mergeCell ref="C58:F58"/>
    <mergeCell ref="C76:F76"/>
    <mergeCell ref="B82:C82"/>
    <mergeCell ref="C95:D95"/>
    <mergeCell ref="B97:C97"/>
    <mergeCell ref="B99:C99"/>
    <mergeCell ref="B101:C101"/>
    <mergeCell ref="B107:C107"/>
    <mergeCell ref="B110:C110"/>
    <mergeCell ref="B116:C116"/>
  </mergeCells>
  <conditionalFormatting sqref="B42:C42 C40 C38 B41:B42 B91:C91 C89 C87 B90:B91">
    <cfRule type="cellIs" priority="2" operator="equal" aboveAverage="0" equalAverage="0" bottom="0" percent="0" rank="0" text="" dxfId="0">
      <formula>#ref!="нет"</formula>
    </cfRule>
  </conditionalFormatting>
  <conditionalFormatting sqref="N111 F111 O37 H37 O39 O41:O42">
    <cfRule type="colorScale" priority="3">
      <colorScale>
        <cfvo type="min" val="0"/>
        <cfvo type="percentile" val="50"/>
        <cfvo type="max" val="0"/>
        <color rgb="FF00A933"/>
        <color rgb="FFFFFF00"/>
        <color rgb="FFFFD7D7"/>
      </colorScale>
    </cfRule>
  </conditionalFormatting>
  <conditionalFormatting sqref="H39">
    <cfRule type="cellIs" priority="4" operator="greaterThanOrEqual" aboveAverage="0" equalAverage="0" bottom="0" percent="0" rank="0" text="" dxfId="1">
      <formula>Калькулятор!$G$39</formula>
    </cfRule>
  </conditionalFormatting>
  <conditionalFormatting sqref="E59:F59">
    <cfRule type="cellIs" priority="5" operator="equal" aboveAverage="0" equalAverage="0" bottom="0" percent="0" rank="0" text="" dxfId="0">
      <formula>#ref!="нет"</formula>
    </cfRule>
  </conditionalFormatting>
  <dataValidations count="9">
    <dataValidation allowBlank="true" errorStyle="stop" operator="equal" showDropDown="false" showErrorMessage="true" showInputMessage="false" sqref="C8 C103" type="none">
      <formula1>0</formula1>
      <formula2>0</formula2>
    </dataValidation>
    <dataValidation allowBlank="true" errorStyle="stop" operator="equal" showDropDown="false" showErrorMessage="true" showInputMessage="false" sqref="C9 C104" type="list">
      <formula1>"Мужчина,Женщина"</formula1>
      <formula2>0</formula2>
    </dataValidation>
    <dataValidation allowBlank="true" errorStyle="stop" operator="equal" showDropDown="false" showErrorMessage="true" showInputMessage="false" sqref="C10 C17 C31 C98 C105" type="list">
      <formula1>"Да,Нет"</formula1>
      <formula2>0</formula2>
    </dataValidation>
    <dataValidation allowBlank="true" errorStyle="stop" operator="equal" showDropDown="false" showErrorMessage="true" showInputMessage="false" sqref="C13" type="list">
      <formula1>КИС!$B$51:$B$53</formula1>
      <formula2>0</formula2>
    </dataValidation>
    <dataValidation allowBlank="true" errorStyle="stop" operator="equal" showDropDown="false" showErrorMessage="true" showInputMessage="false" sqref="C14" type="list">
      <formula1>КИС!$B$55:$B$58</formula1>
      <formula2>0</formula2>
    </dataValidation>
    <dataValidation allowBlank="true" errorStyle="stop" operator="equal" showDropDown="false" showErrorMessage="true" showInputMessage="false" sqref="C16" type="list">
      <formula1>КИС!$B$60:$B$64</formula1>
      <formula2>0</formula2>
    </dataValidation>
    <dataValidation allowBlank="true" errorStyle="stop" operator="equal" showDropDown="false" showErrorMessage="true" showInputMessage="false" sqref="C18" type="list">
      <formula1>Справочно!$L$2:$L$16</formula1>
      <formula2>0</formula2>
    </dataValidation>
    <dataValidation allowBlank="true" errorStyle="stop" operator="equal" showDropDown="false" showErrorMessage="true" showInputMessage="false" sqref="C22" type="list">
      <formula1>Справочно!$J$2:$J$3</formula1>
      <formula2>0</formula2>
    </dataValidation>
    <dataValidation allowBlank="true" errorStyle="stop" operator="equal" showDropDown="false" showErrorMessage="true" showInputMessage="false" sqref="D37 D39 D41" type="list">
      <formula1>Справочно!$K$2:$K$3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5"/>
  <sheetViews>
    <sheetView showFormulas="false" showGridLines="true" showRowColHeaders="true" showZeros="true" rightToLeft="false" tabSelected="false" showOutlineSymbols="true" defaultGridColor="true" view="normal" topLeftCell="A10" colorId="64" zoomScale="120" zoomScaleNormal="120" zoomScalePageLayoutView="100" workbookViewId="0">
      <selection pane="topLeft" activeCell="C53" activeCellId="0" sqref="C53"/>
    </sheetView>
  </sheetViews>
  <sheetFormatPr defaultColWidth="11.53515625" defaultRowHeight="12.8" zeroHeight="false" outlineLevelRow="0" outlineLevelCol="0"/>
  <cols>
    <col collapsed="false" customWidth="true" hidden="false" outlineLevel="0" max="1" min="1" style="1" width="5.93"/>
    <col collapsed="false" customWidth="true" hidden="false" outlineLevel="0" max="2" min="2" style="1" width="21.23"/>
    <col collapsed="false" customWidth="false" hidden="true" outlineLevel="0" max="6" min="4" style="1" width="11.53"/>
    <col collapsed="false" customWidth="true" hidden="true" outlineLevel="0" max="7" min="7" style="1" width="13.05"/>
    <col collapsed="false" customWidth="false" hidden="true" outlineLevel="0" max="8" min="8" style="1" width="11.53"/>
    <col collapsed="false" customWidth="true" hidden="true" outlineLevel="0" max="9" min="9" style="1" width="16.11"/>
    <col collapsed="false" customWidth="true" hidden="true" outlineLevel="0" max="10" min="10" style="1" width="9.94"/>
    <col collapsed="false" customWidth="true" hidden="false" outlineLevel="0" max="11" min="11" style="1" width="15.97"/>
    <col collapsed="false" customWidth="true" hidden="false" outlineLevel="0" max="13" min="13" style="1" width="15.97"/>
    <col collapsed="false" customWidth="false" hidden="false" outlineLevel="0" max="22" min="14" style="1" width="11.53"/>
    <col collapsed="false" customWidth="true" hidden="false" outlineLevel="0" max="24" min="24" style="12" width="106.61"/>
  </cols>
  <sheetData>
    <row r="1" customFormat="false" ht="25.75" hidden="false" customHeight="false" outlineLevel="0" collapsed="false">
      <c r="B1" s="1" t="s">
        <v>85</v>
      </c>
      <c r="T1" s="67" t="s">
        <v>86</v>
      </c>
      <c r="U1" s="68" t="s">
        <v>87</v>
      </c>
      <c r="V1" s="68" t="s">
        <v>88</v>
      </c>
      <c r="X1" s="69" t="s">
        <v>89</v>
      </c>
    </row>
    <row r="2" customFormat="false" ht="15" hidden="false" customHeight="false" outlineLevel="0" collapsed="false">
      <c r="B2" s="1" t="s">
        <v>90</v>
      </c>
      <c r="C2" s="19" t="n">
        <v>0.75</v>
      </c>
      <c r="D2" s="19"/>
      <c r="E2" s="1" t="s">
        <v>91</v>
      </c>
      <c r="T2" s="70" t="n">
        <v>1</v>
      </c>
      <c r="U2" s="70" t="n">
        <v>0.0343</v>
      </c>
      <c r="V2" s="71" t="n">
        <v>0.202</v>
      </c>
      <c r="X2" s="69" t="s">
        <v>92</v>
      </c>
    </row>
    <row r="3" customFormat="false" ht="15" hidden="false" customHeight="false" outlineLevel="0" collapsed="false">
      <c r="C3" s="19" t="n">
        <v>0.05</v>
      </c>
      <c r="D3" s="19"/>
      <c r="E3" s="1" t="s">
        <v>93</v>
      </c>
      <c r="T3" s="72" t="n">
        <v>2</v>
      </c>
      <c r="U3" s="72" t="n">
        <v>0.0347</v>
      </c>
      <c r="V3" s="73" t="n">
        <v>0.204</v>
      </c>
      <c r="X3" s="69" t="s">
        <v>94</v>
      </c>
    </row>
    <row r="4" customFormat="false" ht="25.75" hidden="false" customHeight="false" outlineLevel="0" collapsed="false">
      <c r="T4" s="72" t="n">
        <v>3</v>
      </c>
      <c r="U4" s="72" t="n">
        <v>0.0351</v>
      </c>
      <c r="V4" s="73" t="n">
        <v>0.206</v>
      </c>
      <c r="X4" s="69" t="s">
        <v>95</v>
      </c>
    </row>
    <row r="5" customFormat="false" ht="25.75" hidden="false" customHeight="false" outlineLevel="0" collapsed="false">
      <c r="C5" s="1" t="s">
        <v>96</v>
      </c>
      <c r="T5" s="72" t="n">
        <v>4</v>
      </c>
      <c r="U5" s="72" t="n">
        <v>0.0354</v>
      </c>
      <c r="V5" s="73" t="n">
        <v>0.208</v>
      </c>
      <c r="X5" s="69" t="s">
        <v>97</v>
      </c>
    </row>
    <row r="6" customFormat="false" ht="15" hidden="false" customHeight="false" outlineLevel="0" collapsed="false">
      <c r="B6" s="1" t="s">
        <v>43</v>
      </c>
      <c r="C6" s="19" t="n">
        <v>0.009</v>
      </c>
      <c r="D6" s="19"/>
      <c r="T6" s="72" t="n">
        <v>5</v>
      </c>
      <c r="U6" s="72" t="n">
        <v>0.0358</v>
      </c>
      <c r="V6" s="73" t="n">
        <v>0.211</v>
      </c>
      <c r="X6" s="69" t="s">
        <v>98</v>
      </c>
    </row>
    <row r="7" customFormat="false" ht="15" hidden="false" customHeight="false" outlineLevel="0" collapsed="false">
      <c r="B7" s="1" t="s">
        <v>99</v>
      </c>
      <c r="G7" s="1" t="s">
        <v>93</v>
      </c>
      <c r="H7" s="1" t="n">
        <v>5</v>
      </c>
      <c r="I7" s="1" t="s">
        <v>93</v>
      </c>
      <c r="J7" s="74" t="n">
        <v>5</v>
      </c>
      <c r="K7" s="1" t="s">
        <v>93</v>
      </c>
      <c r="L7" s="75" t="n">
        <f aca="false">Калькулятор!C19+Калькулятор!C20</f>
        <v>10</v>
      </c>
      <c r="M7" s="1" t="s">
        <v>93</v>
      </c>
      <c r="N7" s="76" t="n">
        <v>5</v>
      </c>
      <c r="O7" s="76"/>
      <c r="P7" s="76"/>
      <c r="T7" s="72" t="n">
        <v>6</v>
      </c>
      <c r="U7" s="72" t="n">
        <v>0.0362</v>
      </c>
      <c r="V7" s="73" t="n">
        <v>0.213</v>
      </c>
      <c r="X7" s="69" t="s">
        <v>100</v>
      </c>
    </row>
    <row r="8" customFormat="false" ht="25.75" hidden="false" customHeight="false" outlineLevel="0" collapsed="false">
      <c r="B8" s="1" t="s">
        <v>14</v>
      </c>
      <c r="C8" s="1" t="n">
        <v>1</v>
      </c>
      <c r="G8" s="1" t="s">
        <v>101</v>
      </c>
      <c r="H8" s="1" t="n">
        <v>50</v>
      </c>
      <c r="I8" s="1" t="s">
        <v>30</v>
      </c>
      <c r="J8" s="74" t="n">
        <v>0</v>
      </c>
      <c r="K8" s="1" t="s">
        <v>30</v>
      </c>
      <c r="L8" s="75" t="n">
        <f aca="false">Калькулятор!C21</f>
        <v>0</v>
      </c>
      <c r="M8" s="1" t="s">
        <v>30</v>
      </c>
      <c r="N8" s="76" t="n">
        <v>40</v>
      </c>
      <c r="O8" s="76"/>
      <c r="P8" s="76"/>
      <c r="T8" s="72" t="n">
        <v>7</v>
      </c>
      <c r="U8" s="72" t="n">
        <v>0.0366</v>
      </c>
      <c r="V8" s="73" t="n">
        <v>0.215</v>
      </c>
      <c r="X8" s="69" t="s">
        <v>102</v>
      </c>
    </row>
    <row r="9" customFormat="false" ht="15" hidden="false" customHeight="false" outlineLevel="0" collapsed="false">
      <c r="B9" s="1" t="s">
        <v>103</v>
      </c>
      <c r="C9" s="1" t="n">
        <v>1.5</v>
      </c>
      <c r="J9" s="74"/>
      <c r="L9" s="75"/>
      <c r="N9" s="76"/>
      <c r="O9" s="76"/>
      <c r="P9" s="76"/>
      <c r="T9" s="72"/>
      <c r="U9" s="72"/>
      <c r="V9" s="73"/>
      <c r="X9" s="69"/>
    </row>
    <row r="10" customFormat="false" ht="26.1" hidden="false" customHeight="false" outlineLevel="0" collapsed="false">
      <c r="B10" s="1" t="s">
        <v>104</v>
      </c>
      <c r="G10" s="1" t="s">
        <v>33</v>
      </c>
      <c r="H10" s="1" t="n">
        <v>25</v>
      </c>
      <c r="I10" s="1" t="s">
        <v>33</v>
      </c>
      <c r="J10" s="74" t="n">
        <v>30</v>
      </c>
      <c r="K10" s="1" t="s">
        <v>33</v>
      </c>
      <c r="L10" s="75" t="n">
        <f aca="false">Калькулятор!C23+Калькулятор!C24</f>
        <v>50</v>
      </c>
      <c r="M10" s="1" t="s">
        <v>33</v>
      </c>
      <c r="N10" s="76" t="n">
        <v>20</v>
      </c>
      <c r="O10" s="76"/>
      <c r="P10" s="76"/>
      <c r="T10" s="72" t="n">
        <v>8</v>
      </c>
      <c r="U10" s="72" t="n">
        <v>0.037</v>
      </c>
      <c r="V10" s="73" t="n">
        <v>0.217</v>
      </c>
      <c r="X10" s="69" t="s">
        <v>105</v>
      </c>
    </row>
    <row r="11" customFormat="false" ht="15" hidden="false" customHeight="false" outlineLevel="0" collapsed="false">
      <c r="B11" s="1" t="s">
        <v>12</v>
      </c>
      <c r="C11" s="1" t="n">
        <v>1</v>
      </c>
      <c r="H11" s="1" t="n">
        <f aca="false">SUM(H7:H10)</f>
        <v>80</v>
      </c>
      <c r="J11" s="1" t="n">
        <f aca="false">SUM(J7:J10)</f>
        <v>35</v>
      </c>
      <c r="L11" s="1" t="n">
        <f aca="false">SUM(L7:L10)</f>
        <v>60</v>
      </c>
      <c r="N11" s="1" t="n">
        <f aca="false">SUM(N7:N10)</f>
        <v>65</v>
      </c>
      <c r="T11" s="72" t="n">
        <v>9</v>
      </c>
      <c r="U11" s="72" t="n">
        <v>0.0374</v>
      </c>
      <c r="V11" s="73" t="n">
        <v>0.22</v>
      </c>
      <c r="X11" s="69" t="s">
        <v>106</v>
      </c>
    </row>
    <row r="12" customFormat="false" ht="15" hidden="false" customHeight="false" outlineLevel="0" collapsed="false">
      <c r="B12" s="1" t="s">
        <v>40</v>
      </c>
      <c r="C12" s="1" t="n">
        <v>1.5</v>
      </c>
      <c r="L12" s="1"/>
      <c r="T12" s="72"/>
      <c r="U12" s="72"/>
      <c r="V12" s="73"/>
      <c r="X12" s="69"/>
    </row>
    <row r="13" customFormat="false" ht="15" hidden="false" customHeight="false" outlineLevel="0" collapsed="false">
      <c r="L13" s="1"/>
      <c r="T13" s="72"/>
      <c r="U13" s="72"/>
      <c r="V13" s="73"/>
      <c r="X13" s="69"/>
    </row>
    <row r="14" customFormat="false" ht="15" hidden="false" customHeight="false" outlineLevel="0" collapsed="false">
      <c r="T14" s="72" t="n">
        <v>10</v>
      </c>
      <c r="U14" s="72" t="n">
        <v>0.0378</v>
      </c>
      <c r="V14" s="73" t="n">
        <v>0.222</v>
      </c>
      <c r="X14" s="69" t="s">
        <v>107</v>
      </c>
    </row>
    <row r="15" customFormat="false" ht="46.25" hidden="false" customHeight="false" outlineLevel="0" collapsed="false">
      <c r="B15" s="77" t="s">
        <v>7</v>
      </c>
      <c r="C15" s="77"/>
      <c r="D15" s="77"/>
      <c r="E15" s="77" t="s">
        <v>108</v>
      </c>
      <c r="F15" s="77"/>
      <c r="G15" s="78" t="s">
        <v>43</v>
      </c>
      <c r="H15" s="78"/>
      <c r="I15" s="78"/>
      <c r="J15" s="78"/>
      <c r="K15" s="78" t="str">
        <f aca="false">"Партнерский Тариф с РВД " &amp;L11 &amp;"%"</f>
        <v>Партнерский Тариф с РВД 60%</v>
      </c>
      <c r="L15" s="78"/>
      <c r="M15" s="78"/>
      <c r="N15" s="78"/>
      <c r="O15" s="78"/>
      <c r="P15" s="78"/>
      <c r="S15" s="79" t="s">
        <v>109</v>
      </c>
      <c r="T15" s="72" t="n">
        <v>11</v>
      </c>
      <c r="U15" s="72" t="n">
        <v>0.0382</v>
      </c>
      <c r="V15" s="73" t="n">
        <v>0.225</v>
      </c>
      <c r="X15" s="69" t="s">
        <v>110</v>
      </c>
    </row>
    <row r="16" customFormat="false" ht="15" hidden="false" customHeight="false" outlineLevel="0" collapsed="false">
      <c r="B16" s="80"/>
      <c r="C16" s="80"/>
      <c r="D16" s="80"/>
      <c r="E16" s="77" t="s">
        <v>111</v>
      </c>
      <c r="F16" s="77" t="s">
        <v>9</v>
      </c>
      <c r="G16" s="77" t="s">
        <v>111</v>
      </c>
      <c r="H16" s="77" t="s">
        <v>9</v>
      </c>
      <c r="I16" s="77"/>
      <c r="J16" s="77"/>
      <c r="K16" s="77" t="s">
        <v>111</v>
      </c>
      <c r="L16" s="77" t="s">
        <v>9</v>
      </c>
      <c r="M16" s="77"/>
      <c r="N16" s="77"/>
      <c r="O16" s="77"/>
      <c r="P16" s="77"/>
      <c r="T16" s="72" t="n">
        <v>12</v>
      </c>
      <c r="U16" s="72" t="n">
        <v>0.0386</v>
      </c>
      <c r="V16" s="73" t="n">
        <v>0.227</v>
      </c>
      <c r="X16" s="69" t="s">
        <v>112</v>
      </c>
    </row>
    <row r="17" customFormat="false" ht="15" hidden="false" customHeight="false" outlineLevel="0" collapsed="false">
      <c r="A17" s="1" t="str">
        <f aca="false">B17&amp;"-"&amp;C17</f>
        <v>18-20</v>
      </c>
      <c r="B17" s="81" t="n">
        <v>18</v>
      </c>
      <c r="C17" s="81" t="n">
        <v>20</v>
      </c>
      <c r="D17" s="81" t="s">
        <v>113</v>
      </c>
      <c r="E17" s="81" t="n">
        <v>0.2</v>
      </c>
      <c r="F17" s="81" t="n">
        <v>0.2</v>
      </c>
      <c r="G17" s="82" t="n">
        <f aca="false">E17*$C$6</f>
        <v>0.0018</v>
      </c>
      <c r="H17" s="82" t="n">
        <f aca="false">F17*$C$6</f>
        <v>0.0018</v>
      </c>
      <c r="I17" s="82"/>
      <c r="J17" s="82"/>
      <c r="K17" s="83" t="n">
        <f aca="false">G17*VLOOKUP($L$11,T:V,3,0)</f>
        <v>0.0009</v>
      </c>
      <c r="L17" s="83" t="n">
        <f aca="false">H17*VLOOKUP($L$11,T:V,3,0)</f>
        <v>0.0009</v>
      </c>
      <c r="M17" s="83" t="n">
        <f aca="false">K17*$L$10%</f>
        <v>0.00045</v>
      </c>
      <c r="N17" s="83" t="n">
        <f aca="false">L17*$L$10%</f>
        <v>0.00045</v>
      </c>
      <c r="O17" s="83"/>
      <c r="P17" s="83"/>
      <c r="Q17" s="19"/>
      <c r="R17" s="19"/>
      <c r="S17" s="79" t="n">
        <v>0.04</v>
      </c>
      <c r="T17" s="72" t="n">
        <v>13</v>
      </c>
      <c r="U17" s="72" t="n">
        <v>0.0391</v>
      </c>
      <c r="V17" s="73" t="n">
        <v>0.23</v>
      </c>
      <c r="X17" s="69" t="s">
        <v>114</v>
      </c>
    </row>
    <row r="18" customFormat="false" ht="15" hidden="false" customHeight="false" outlineLevel="0" collapsed="false">
      <c r="A18" s="1" t="str">
        <f aca="false">B18&amp;"-"&amp;C18</f>
        <v>21-25</v>
      </c>
      <c r="B18" s="81" t="n">
        <v>21</v>
      </c>
      <c r="C18" s="81" t="n">
        <v>25</v>
      </c>
      <c r="D18" s="81" t="s">
        <v>115</v>
      </c>
      <c r="E18" s="81" t="n">
        <v>0.23</v>
      </c>
      <c r="F18" s="81" t="n">
        <v>0.215</v>
      </c>
      <c r="G18" s="82" t="n">
        <f aca="false">E18*$C$6</f>
        <v>0.00207</v>
      </c>
      <c r="H18" s="82" t="n">
        <f aca="false">F18*$C$6</f>
        <v>0.001935</v>
      </c>
      <c r="I18" s="82"/>
      <c r="J18" s="82"/>
      <c r="K18" s="83" t="n">
        <f aca="false">G18*VLOOKUP($L$11,T:V,3,0)</f>
        <v>0.001035</v>
      </c>
      <c r="L18" s="83" t="n">
        <f aca="false">H18*VLOOKUP($L$11,T:V,3,0)</f>
        <v>0.0009675</v>
      </c>
      <c r="M18" s="83" t="n">
        <f aca="false">K18*$L$10%</f>
        <v>0.0005175</v>
      </c>
      <c r="N18" s="83" t="n">
        <f aca="false">L18*$L$10%</f>
        <v>0.00048375</v>
      </c>
      <c r="O18" s="83"/>
      <c r="P18" s="83"/>
      <c r="Q18" s="19"/>
      <c r="R18" s="19"/>
      <c r="S18" s="79" t="n">
        <v>0.025</v>
      </c>
      <c r="T18" s="72" t="n">
        <v>14</v>
      </c>
      <c r="U18" s="72" t="n">
        <v>0.0395</v>
      </c>
      <c r="V18" s="73" t="n">
        <v>0.233</v>
      </c>
      <c r="X18" s="69" t="s">
        <v>116</v>
      </c>
    </row>
    <row r="19" customFormat="false" ht="12.8" hidden="false" customHeight="false" outlineLevel="0" collapsed="false">
      <c r="A19" s="1" t="str">
        <f aca="false">B19&amp;"-"&amp;C19</f>
        <v>26-27</v>
      </c>
      <c r="B19" s="81" t="n">
        <f aca="false">C18+1</f>
        <v>26</v>
      </c>
      <c r="C19" s="81" t="n">
        <v>27</v>
      </c>
      <c r="D19" s="81" t="s">
        <v>117</v>
      </c>
      <c r="E19" s="81" t="n">
        <v>0.26</v>
      </c>
      <c r="F19" s="81" t="n">
        <v>0.23</v>
      </c>
      <c r="G19" s="82" t="n">
        <f aca="false">E19*$C$6</f>
        <v>0.00234</v>
      </c>
      <c r="H19" s="82" t="n">
        <f aca="false">F19*$C$6</f>
        <v>0.00207</v>
      </c>
      <c r="I19" s="82"/>
      <c r="J19" s="82"/>
      <c r="K19" s="83" t="n">
        <f aca="false">G19*VLOOKUP($L$11,T:V,3,0)</f>
        <v>0.00117</v>
      </c>
      <c r="L19" s="83" t="n">
        <f aca="false">H19*VLOOKUP($L$11,T:V,3,0)</f>
        <v>0.001035</v>
      </c>
      <c r="M19" s="83" t="n">
        <f aca="false">K19*$L$10%</f>
        <v>0.000585</v>
      </c>
      <c r="N19" s="83" t="n">
        <f aca="false">L19*$L$10%</f>
        <v>0.0005175</v>
      </c>
      <c r="O19" s="83"/>
      <c r="P19" s="83"/>
      <c r="Q19" s="19"/>
      <c r="R19" s="19"/>
      <c r="T19" s="72" t="n">
        <v>15</v>
      </c>
      <c r="U19" s="72" t="n">
        <v>0.04</v>
      </c>
      <c r="V19" s="73" t="n">
        <v>0.235</v>
      </c>
    </row>
    <row r="20" customFormat="false" ht="12.8" hidden="false" customHeight="false" outlineLevel="0" collapsed="false">
      <c r="A20" s="1" t="str">
        <f aca="false">B20&amp;"-"&amp;C20</f>
        <v>28-29</v>
      </c>
      <c r="B20" s="81" t="n">
        <f aca="false">C19+1</f>
        <v>28</v>
      </c>
      <c r="C20" s="81" t="n">
        <v>29</v>
      </c>
      <c r="D20" s="81" t="s">
        <v>118</v>
      </c>
      <c r="E20" s="81" t="n">
        <v>0.27</v>
      </c>
      <c r="F20" s="81" t="n">
        <v>0.24</v>
      </c>
      <c r="G20" s="82" t="n">
        <f aca="false">E20*$C$6</f>
        <v>0.00243</v>
      </c>
      <c r="H20" s="82" t="n">
        <f aca="false">F20*$C$6</f>
        <v>0.00216</v>
      </c>
      <c r="I20" s="82"/>
      <c r="J20" s="82"/>
      <c r="K20" s="83" t="n">
        <f aca="false">G20*VLOOKUP($L$11,T:V,3,0)</f>
        <v>0.001215</v>
      </c>
      <c r="L20" s="83" t="n">
        <f aca="false">H20*VLOOKUP($L$11,T:V,3,0)</f>
        <v>0.00108</v>
      </c>
      <c r="M20" s="83" t="n">
        <f aca="false">K20*$L$10%</f>
        <v>0.0006075</v>
      </c>
      <c r="N20" s="83" t="n">
        <f aca="false">L20*$L$10%</f>
        <v>0.00054</v>
      </c>
      <c r="O20" s="83"/>
      <c r="P20" s="83"/>
      <c r="Q20" s="19"/>
      <c r="R20" s="19"/>
      <c r="T20" s="72" t="n">
        <v>16</v>
      </c>
      <c r="U20" s="72" t="n">
        <v>0.0405</v>
      </c>
      <c r="V20" s="73" t="n">
        <v>0.238</v>
      </c>
      <c r="X20" s="84" t="s">
        <v>96</v>
      </c>
    </row>
    <row r="21" customFormat="false" ht="14.9" hidden="false" customHeight="false" outlineLevel="0" collapsed="false">
      <c r="A21" s="1" t="str">
        <f aca="false">B21&amp;"-"&amp;C21</f>
        <v>30-31</v>
      </c>
      <c r="B21" s="81" t="n">
        <f aca="false">C20+1</f>
        <v>30</v>
      </c>
      <c r="C21" s="81" t="n">
        <v>31</v>
      </c>
      <c r="D21" s="81" t="s">
        <v>119</v>
      </c>
      <c r="E21" s="81" t="n">
        <v>0.295</v>
      </c>
      <c r="F21" s="81" t="n">
        <v>0.25</v>
      </c>
      <c r="G21" s="82" t="n">
        <f aca="false">E21*$C$6</f>
        <v>0.002655</v>
      </c>
      <c r="H21" s="82" t="n">
        <f aca="false">F21*$C$6</f>
        <v>0.00225</v>
      </c>
      <c r="I21" s="82"/>
      <c r="J21" s="82"/>
      <c r="K21" s="83" t="n">
        <f aca="false">G21*VLOOKUP($L$11,T:V,3,0)</f>
        <v>0.0013275</v>
      </c>
      <c r="L21" s="83" t="n">
        <f aca="false">H21*VLOOKUP($L$11,T:V,3,0)</f>
        <v>0.001125</v>
      </c>
      <c r="M21" s="83" t="n">
        <f aca="false">K21*$L$10%</f>
        <v>0.00066375</v>
      </c>
      <c r="N21" s="83" t="n">
        <f aca="false">L21*$L$10%</f>
        <v>0.0005625</v>
      </c>
      <c r="O21" s="83"/>
      <c r="P21" s="83"/>
      <c r="Q21" s="19"/>
      <c r="R21" s="19"/>
      <c r="T21" s="72" t="n">
        <v>17</v>
      </c>
      <c r="U21" s="72" t="n">
        <v>0.041</v>
      </c>
      <c r="V21" s="73" t="n">
        <v>0.241</v>
      </c>
      <c r="X21" s="85" t="s">
        <v>120</v>
      </c>
    </row>
    <row r="22" customFormat="false" ht="14.9" hidden="false" customHeight="false" outlineLevel="0" collapsed="false">
      <c r="A22" s="1" t="str">
        <f aca="false">B22&amp;"-"&amp;C22</f>
        <v>32-33</v>
      </c>
      <c r="B22" s="81" t="n">
        <f aca="false">C21+1</f>
        <v>32</v>
      </c>
      <c r="C22" s="81" t="n">
        <v>33</v>
      </c>
      <c r="D22" s="81" t="s">
        <v>121</v>
      </c>
      <c r="E22" s="81" t="n">
        <v>0.305</v>
      </c>
      <c r="F22" s="81" t="n">
        <v>0.265</v>
      </c>
      <c r="G22" s="82" t="n">
        <f aca="false">E22*$C$6</f>
        <v>0.002745</v>
      </c>
      <c r="H22" s="82" t="n">
        <f aca="false">F22*$C$6</f>
        <v>0.002385</v>
      </c>
      <c r="I22" s="82"/>
      <c r="J22" s="82"/>
      <c r="K22" s="83" t="n">
        <f aca="false">G22*VLOOKUP($L$11,T:V,3,0)</f>
        <v>0.0013725</v>
      </c>
      <c r="L22" s="83" t="n">
        <f aca="false">H22*VLOOKUP($L$11,T:V,3,0)</f>
        <v>0.0011925</v>
      </c>
      <c r="M22" s="83" t="n">
        <f aca="false">K22*$L$10%</f>
        <v>0.00068625</v>
      </c>
      <c r="N22" s="83" t="n">
        <f aca="false">L22*$L$10%</f>
        <v>0.00059625</v>
      </c>
      <c r="O22" s="83"/>
      <c r="P22" s="83"/>
      <c r="Q22" s="19"/>
      <c r="R22" s="19"/>
      <c r="T22" s="72" t="n">
        <v>18</v>
      </c>
      <c r="U22" s="72" t="n">
        <v>0.0415</v>
      </c>
      <c r="V22" s="73" t="n">
        <v>0.244</v>
      </c>
      <c r="X22" s="85" t="s">
        <v>122</v>
      </c>
    </row>
    <row r="23" customFormat="false" ht="14.9" hidden="false" customHeight="false" outlineLevel="0" collapsed="false">
      <c r="A23" s="1" t="str">
        <f aca="false">B23&amp;"-"&amp;C23</f>
        <v>34-35</v>
      </c>
      <c r="B23" s="81" t="n">
        <f aca="false">C22+1</f>
        <v>34</v>
      </c>
      <c r="C23" s="81" t="n">
        <v>35</v>
      </c>
      <c r="D23" s="81" t="s">
        <v>123</v>
      </c>
      <c r="E23" s="81" t="n">
        <v>0.32</v>
      </c>
      <c r="F23" s="81" t="n">
        <v>0.28</v>
      </c>
      <c r="G23" s="82" t="n">
        <f aca="false">E23*$C$6</f>
        <v>0.00288</v>
      </c>
      <c r="H23" s="82" t="n">
        <f aca="false">F23*$C$6</f>
        <v>0.00252</v>
      </c>
      <c r="I23" s="82"/>
      <c r="J23" s="82"/>
      <c r="K23" s="83" t="n">
        <f aca="false">G23*VLOOKUP($L$11,T:V,3,0)</f>
        <v>0.00144</v>
      </c>
      <c r="L23" s="83" t="n">
        <f aca="false">H23*VLOOKUP($L$11,T:V,3,0)</f>
        <v>0.00126</v>
      </c>
      <c r="M23" s="83" t="n">
        <f aca="false">K23*$L$10%</f>
        <v>0.00072</v>
      </c>
      <c r="N23" s="83" t="n">
        <f aca="false">L23*$L$10%</f>
        <v>0.00063</v>
      </c>
      <c r="O23" s="83"/>
      <c r="P23" s="83"/>
      <c r="Q23" s="19"/>
      <c r="R23" s="19"/>
      <c r="T23" s="72" t="n">
        <v>19</v>
      </c>
      <c r="U23" s="72" t="n">
        <v>0.042</v>
      </c>
      <c r="V23" s="73" t="n">
        <v>0.247</v>
      </c>
      <c r="X23" s="85" t="s">
        <v>124</v>
      </c>
    </row>
    <row r="24" customFormat="false" ht="14.9" hidden="false" customHeight="false" outlineLevel="0" collapsed="false">
      <c r="A24" s="1" t="str">
        <f aca="false">B24&amp;"-"&amp;C24</f>
        <v>36-37</v>
      </c>
      <c r="B24" s="81" t="n">
        <f aca="false">C23+1</f>
        <v>36</v>
      </c>
      <c r="C24" s="81" t="n">
        <v>37</v>
      </c>
      <c r="D24" s="81" t="s">
        <v>125</v>
      </c>
      <c r="E24" s="81" t="n">
        <v>0.34</v>
      </c>
      <c r="F24" s="81" t="n">
        <v>0.3</v>
      </c>
      <c r="G24" s="82" t="n">
        <f aca="false">E24*$C$6</f>
        <v>0.00306</v>
      </c>
      <c r="H24" s="82" t="n">
        <f aca="false">F24*$C$6</f>
        <v>0.0027</v>
      </c>
      <c r="I24" s="82"/>
      <c r="J24" s="82"/>
      <c r="K24" s="83" t="n">
        <f aca="false">G24*VLOOKUP($L$11,T:V,3,0)</f>
        <v>0.00153</v>
      </c>
      <c r="L24" s="83" t="n">
        <f aca="false">H24*VLOOKUP($L$11,T:V,3,0)</f>
        <v>0.00135</v>
      </c>
      <c r="M24" s="83" t="n">
        <f aca="false">K24*$L$10%</f>
        <v>0.000765</v>
      </c>
      <c r="N24" s="83" t="n">
        <f aca="false">L24*$L$10%</f>
        <v>0.000675</v>
      </c>
      <c r="O24" s="83"/>
      <c r="P24" s="83"/>
      <c r="Q24" s="19"/>
      <c r="R24" s="19"/>
      <c r="T24" s="72" t="n">
        <v>20</v>
      </c>
      <c r="U24" s="72" t="n">
        <v>0.0425</v>
      </c>
      <c r="V24" s="73" t="n">
        <v>0.25</v>
      </c>
      <c r="X24" s="85" t="s">
        <v>126</v>
      </c>
    </row>
    <row r="25" customFormat="false" ht="14.9" hidden="false" customHeight="false" outlineLevel="0" collapsed="false">
      <c r="A25" s="1" t="str">
        <f aca="false">B25&amp;"-"&amp;C25</f>
        <v>38-39</v>
      </c>
      <c r="B25" s="81" t="n">
        <f aca="false">C24+1</f>
        <v>38</v>
      </c>
      <c r="C25" s="81" t="n">
        <v>39</v>
      </c>
      <c r="D25" s="81" t="s">
        <v>127</v>
      </c>
      <c r="E25" s="81" t="n">
        <v>0.375</v>
      </c>
      <c r="F25" s="81" t="n">
        <v>0.33</v>
      </c>
      <c r="G25" s="82" t="n">
        <f aca="false">E25*$C$6</f>
        <v>0.003375</v>
      </c>
      <c r="H25" s="82" t="n">
        <f aca="false">F25*$C$6</f>
        <v>0.00297</v>
      </c>
      <c r="I25" s="82"/>
      <c r="J25" s="82"/>
      <c r="K25" s="83" t="n">
        <f aca="false">G25*VLOOKUP($L$11,T:V,3,0)</f>
        <v>0.0016875</v>
      </c>
      <c r="L25" s="83" t="n">
        <f aca="false">H25*VLOOKUP($L$11,T:V,3,0)</f>
        <v>0.001485</v>
      </c>
      <c r="M25" s="83" t="n">
        <f aca="false">K25*$L$10%</f>
        <v>0.00084375</v>
      </c>
      <c r="N25" s="83" t="n">
        <f aca="false">L25*$L$10%</f>
        <v>0.0007425</v>
      </c>
      <c r="O25" s="83"/>
      <c r="P25" s="83"/>
      <c r="Q25" s="19"/>
      <c r="R25" s="19"/>
      <c r="T25" s="72" t="n">
        <v>21</v>
      </c>
      <c r="U25" s="72" t="n">
        <v>0.043</v>
      </c>
      <c r="V25" s="73" t="n">
        <v>0.253</v>
      </c>
      <c r="X25" s="85" t="s">
        <v>128</v>
      </c>
    </row>
    <row r="26" customFormat="false" ht="14.9" hidden="false" customHeight="false" outlineLevel="0" collapsed="false">
      <c r="A26" s="1" t="str">
        <f aca="false">B26&amp;"-"&amp;C26</f>
        <v>40-41</v>
      </c>
      <c r="B26" s="81" t="n">
        <f aca="false">C25+1</f>
        <v>40</v>
      </c>
      <c r="C26" s="81" t="n">
        <v>41</v>
      </c>
      <c r="D26" s="81" t="s">
        <v>129</v>
      </c>
      <c r="E26" s="81" t="n">
        <v>0.42</v>
      </c>
      <c r="F26" s="81" t="n">
        <v>0.38</v>
      </c>
      <c r="G26" s="82" t="n">
        <f aca="false">E26*$C$6</f>
        <v>0.00378</v>
      </c>
      <c r="H26" s="82" t="n">
        <f aca="false">F26*$C$6</f>
        <v>0.00342</v>
      </c>
      <c r="I26" s="82"/>
      <c r="J26" s="82"/>
      <c r="K26" s="83" t="n">
        <f aca="false">G26*VLOOKUP($L$11,T:V,3,0)</f>
        <v>0.00189</v>
      </c>
      <c r="L26" s="83" t="n">
        <f aca="false">H26*VLOOKUP($L$11,T:V,3,0)</f>
        <v>0.00171</v>
      </c>
      <c r="M26" s="83" t="n">
        <f aca="false">K26*$L$10%</f>
        <v>0.000945</v>
      </c>
      <c r="N26" s="83" t="n">
        <f aca="false">L26*$L$10%</f>
        <v>0.000855</v>
      </c>
      <c r="O26" s="83"/>
      <c r="P26" s="83"/>
      <c r="Q26" s="19"/>
      <c r="R26" s="19"/>
      <c r="T26" s="72" t="n">
        <v>22</v>
      </c>
      <c r="U26" s="72" t="n">
        <v>0.0436</v>
      </c>
      <c r="V26" s="73" t="n">
        <v>0.256</v>
      </c>
      <c r="X26" s="85" t="s">
        <v>130</v>
      </c>
    </row>
    <row r="27" customFormat="false" ht="14.9" hidden="false" customHeight="false" outlineLevel="0" collapsed="false">
      <c r="A27" s="1" t="str">
        <f aca="false">B27&amp;"-"&amp;C27</f>
        <v>42-43</v>
      </c>
      <c r="B27" s="81" t="n">
        <f aca="false">C26+1</f>
        <v>42</v>
      </c>
      <c r="C27" s="81" t="n">
        <v>43</v>
      </c>
      <c r="D27" s="81" t="s">
        <v>131</v>
      </c>
      <c r="E27" s="81" t="n">
        <v>0.5</v>
      </c>
      <c r="F27" s="81" t="n">
        <v>0.44</v>
      </c>
      <c r="G27" s="82" t="n">
        <f aca="false">E27*$C$6</f>
        <v>0.0045</v>
      </c>
      <c r="H27" s="82" t="n">
        <f aca="false">F27*$C$6</f>
        <v>0.00396</v>
      </c>
      <c r="I27" s="82"/>
      <c r="J27" s="82"/>
      <c r="K27" s="83" t="n">
        <f aca="false">G27*VLOOKUP($L$11,T:V,3,0)</f>
        <v>0.00225</v>
      </c>
      <c r="L27" s="83" t="n">
        <f aca="false">H27*VLOOKUP($L$11,T:V,3,0)</f>
        <v>0.00198</v>
      </c>
      <c r="M27" s="83" t="n">
        <f aca="false">K27*$L$10%</f>
        <v>0.001125</v>
      </c>
      <c r="N27" s="83" t="n">
        <f aca="false">L27*$L$10%</f>
        <v>0.00099</v>
      </c>
      <c r="O27" s="83"/>
      <c r="P27" s="83"/>
      <c r="Q27" s="19"/>
      <c r="R27" s="19"/>
      <c r="T27" s="72" t="n">
        <v>23</v>
      </c>
      <c r="U27" s="72" t="n">
        <v>0.0442</v>
      </c>
      <c r="V27" s="73" t="n">
        <v>0.26</v>
      </c>
      <c r="X27" s="85" t="s">
        <v>132</v>
      </c>
    </row>
    <row r="28" customFormat="false" ht="14.9" hidden="false" customHeight="false" outlineLevel="0" collapsed="false">
      <c r="A28" s="1" t="str">
        <f aca="false">B28&amp;"-"&amp;C28</f>
        <v>44-46</v>
      </c>
      <c r="B28" s="81" t="n">
        <f aca="false">C27+1</f>
        <v>44</v>
      </c>
      <c r="C28" s="81" t="n">
        <v>46</v>
      </c>
      <c r="D28" s="81" t="s">
        <v>133</v>
      </c>
      <c r="E28" s="81" t="n">
        <v>0.58</v>
      </c>
      <c r="F28" s="81" t="n">
        <v>0.555</v>
      </c>
      <c r="G28" s="82" t="n">
        <f aca="false">E28*$C$6</f>
        <v>0.00522</v>
      </c>
      <c r="H28" s="82" t="n">
        <f aca="false">F28*$C$6</f>
        <v>0.004995</v>
      </c>
      <c r="I28" s="82"/>
      <c r="J28" s="82"/>
      <c r="K28" s="83" t="n">
        <f aca="false">G28*VLOOKUP($L$11,T:V,3,0)</f>
        <v>0.00261</v>
      </c>
      <c r="L28" s="83" t="n">
        <f aca="false">H28*VLOOKUP($L$11,T:V,3,0)</f>
        <v>0.0024975</v>
      </c>
      <c r="M28" s="83" t="n">
        <f aca="false">K28*$L$10%</f>
        <v>0.001305</v>
      </c>
      <c r="N28" s="83" t="n">
        <f aca="false">L28*$L$10%</f>
        <v>0.00124875</v>
      </c>
      <c r="O28" s="83"/>
      <c r="P28" s="83"/>
      <c r="Q28" s="19"/>
      <c r="R28" s="19"/>
      <c r="T28" s="72" t="n">
        <v>24</v>
      </c>
      <c r="U28" s="72" t="n">
        <v>0.0447</v>
      </c>
      <c r="V28" s="73" t="n">
        <v>0.263</v>
      </c>
      <c r="X28" s="85" t="s">
        <v>134</v>
      </c>
    </row>
    <row r="29" customFormat="false" ht="14.9" hidden="false" customHeight="false" outlineLevel="0" collapsed="false">
      <c r="A29" s="1" t="str">
        <f aca="false">B29&amp;"-"&amp;C29</f>
        <v>47-49</v>
      </c>
      <c r="B29" s="81" t="n">
        <f aca="false">C28+1</f>
        <v>47</v>
      </c>
      <c r="C29" s="81" t="n">
        <v>49</v>
      </c>
      <c r="D29" s="81" t="s">
        <v>135</v>
      </c>
      <c r="E29" s="81" t="n">
        <v>0.67</v>
      </c>
      <c r="F29" s="81" t="n">
        <v>0.655</v>
      </c>
      <c r="G29" s="82" t="n">
        <f aca="false">E29*$C$6</f>
        <v>0.00603</v>
      </c>
      <c r="H29" s="82" t="n">
        <f aca="false">F29*$C$6</f>
        <v>0.005895</v>
      </c>
      <c r="I29" s="82"/>
      <c r="J29" s="82"/>
      <c r="K29" s="83" t="n">
        <f aca="false">G29*VLOOKUP($L$11,T:V,3,0)</f>
        <v>0.003015</v>
      </c>
      <c r="L29" s="83" t="n">
        <f aca="false">H29*VLOOKUP($L$11,T:V,3,0)</f>
        <v>0.0029475</v>
      </c>
      <c r="M29" s="83" t="n">
        <f aca="false">K29*$L$10%</f>
        <v>0.0015075</v>
      </c>
      <c r="N29" s="83" t="n">
        <f aca="false">L29*$L$10%</f>
        <v>0.00147375</v>
      </c>
      <c r="O29" s="83"/>
      <c r="P29" s="83"/>
      <c r="Q29" s="19"/>
      <c r="R29" s="19"/>
      <c r="T29" s="72" t="n">
        <v>25</v>
      </c>
      <c r="U29" s="72" t="n">
        <v>0.0453</v>
      </c>
      <c r="V29" s="73" t="n">
        <v>0.267</v>
      </c>
      <c r="X29" s="85" t="s">
        <v>136</v>
      </c>
    </row>
    <row r="30" customFormat="false" ht="14.9" hidden="false" customHeight="false" outlineLevel="0" collapsed="false">
      <c r="A30" s="1" t="str">
        <f aca="false">B30&amp;"-"&amp;C30</f>
        <v>50-52</v>
      </c>
      <c r="B30" s="81" t="n">
        <f aca="false">C29+1</f>
        <v>50</v>
      </c>
      <c r="C30" s="81" t="n">
        <v>52</v>
      </c>
      <c r="D30" s="81" t="s">
        <v>137</v>
      </c>
      <c r="E30" s="81" t="n">
        <v>0.81</v>
      </c>
      <c r="F30" s="81" t="n">
        <v>0.795</v>
      </c>
      <c r="G30" s="82" t="n">
        <f aca="false">E30*$C$6</f>
        <v>0.00729</v>
      </c>
      <c r="H30" s="82" t="n">
        <f aca="false">F30*$C$6</f>
        <v>0.007155</v>
      </c>
      <c r="I30" s="82"/>
      <c r="J30" s="82"/>
      <c r="K30" s="83" t="n">
        <f aca="false">G30*VLOOKUP($L$11,T:V,3,0)</f>
        <v>0.003645</v>
      </c>
      <c r="L30" s="83" t="n">
        <f aca="false">H30*VLOOKUP($L$11,T:V,3,0)</f>
        <v>0.0035775</v>
      </c>
      <c r="M30" s="83" t="n">
        <f aca="false">K30*$L$10%</f>
        <v>0.0018225</v>
      </c>
      <c r="N30" s="83" t="n">
        <f aca="false">L30*$L$10%</f>
        <v>0.00178875</v>
      </c>
      <c r="O30" s="83"/>
      <c r="P30" s="83"/>
      <c r="Q30" s="19"/>
      <c r="R30" s="19"/>
      <c r="T30" s="72" t="n">
        <v>26</v>
      </c>
      <c r="U30" s="72" t="n">
        <v>0.0459</v>
      </c>
      <c r="V30" s="73" t="n">
        <v>0.27</v>
      </c>
      <c r="X30" s="85" t="s">
        <v>138</v>
      </c>
    </row>
    <row r="31" customFormat="false" ht="12.8" hidden="false" customHeight="false" outlineLevel="0" collapsed="false">
      <c r="A31" s="1" t="str">
        <f aca="false">B31&amp;"-"&amp;C31</f>
        <v>53-55</v>
      </c>
      <c r="B31" s="81" t="n">
        <f aca="false">C30+1</f>
        <v>53</v>
      </c>
      <c r="C31" s="81" t="n">
        <v>55</v>
      </c>
      <c r="D31" s="81" t="s">
        <v>139</v>
      </c>
      <c r="E31" s="81" t="n">
        <v>0.93</v>
      </c>
      <c r="F31" s="81" t="n">
        <v>0.93</v>
      </c>
      <c r="G31" s="82" t="n">
        <f aca="false">E31*$C$6</f>
        <v>0.00837</v>
      </c>
      <c r="H31" s="82" t="n">
        <f aca="false">F31*$C$6</f>
        <v>0.00837</v>
      </c>
      <c r="I31" s="82"/>
      <c r="J31" s="82"/>
      <c r="K31" s="83" t="n">
        <f aca="false">G31*VLOOKUP($L$11,T:V,3,0)</f>
        <v>0.004185</v>
      </c>
      <c r="L31" s="83" t="n">
        <f aca="false">H31*VLOOKUP($L$11,T:V,3,0)</f>
        <v>0.004185</v>
      </c>
      <c r="M31" s="83" t="n">
        <f aca="false">K31*$L$10%</f>
        <v>0.0020925</v>
      </c>
      <c r="N31" s="83" t="n">
        <f aca="false">L31*$L$10%</f>
        <v>0.0020925</v>
      </c>
      <c r="O31" s="83"/>
      <c r="P31" s="83"/>
      <c r="Q31" s="19"/>
      <c r="R31" s="19"/>
      <c r="T31" s="72" t="n">
        <v>27</v>
      </c>
      <c r="U31" s="72" t="n">
        <v>0.0466</v>
      </c>
      <c r="V31" s="73" t="n">
        <v>0.274</v>
      </c>
    </row>
    <row r="32" customFormat="false" ht="12.8" hidden="false" customHeight="false" outlineLevel="0" collapsed="false">
      <c r="A32" s="1" t="str">
        <f aca="false">B32&amp;"-"&amp;C32</f>
        <v>56-58</v>
      </c>
      <c r="B32" s="81" t="n">
        <v>56</v>
      </c>
      <c r="C32" s="81" t="n">
        <v>58</v>
      </c>
      <c r="D32" s="81" t="s">
        <v>140</v>
      </c>
      <c r="E32" s="81" t="n">
        <v>1.1</v>
      </c>
      <c r="F32" s="81" t="n">
        <v>1.1</v>
      </c>
      <c r="G32" s="82" t="n">
        <f aca="false">E32*$C$6</f>
        <v>0.0099</v>
      </c>
      <c r="H32" s="82" t="n">
        <f aca="false">F32*$C$6</f>
        <v>0.0099</v>
      </c>
      <c r="I32" s="82"/>
      <c r="J32" s="82"/>
      <c r="K32" s="83" t="n">
        <f aca="false">G32*VLOOKUP($L$11,T:V,3,0)</f>
        <v>0.00495</v>
      </c>
      <c r="L32" s="83" t="n">
        <f aca="false">H32*VLOOKUP($L$11,T:V,3,0)</f>
        <v>0.00495</v>
      </c>
      <c r="M32" s="83" t="n">
        <f aca="false">K32*$L$10%</f>
        <v>0.002475</v>
      </c>
      <c r="N32" s="83" t="n">
        <f aca="false">L32*$L$10%</f>
        <v>0.002475</v>
      </c>
      <c r="O32" s="83"/>
      <c r="P32" s="83"/>
      <c r="Q32" s="19"/>
      <c r="R32" s="19"/>
      <c r="T32" s="72" t="n">
        <v>28</v>
      </c>
      <c r="U32" s="72" t="n">
        <v>0.0472</v>
      </c>
      <c r="V32" s="73" t="n">
        <v>0.278</v>
      </c>
    </row>
    <row r="33" customFormat="false" ht="12.8" hidden="false" customHeight="false" outlineLevel="0" collapsed="false">
      <c r="A33" s="1" t="str">
        <f aca="false">B33&amp;"-"&amp;C33</f>
        <v>59-63</v>
      </c>
      <c r="B33" s="81" t="n">
        <v>59</v>
      </c>
      <c r="C33" s="81" t="n">
        <v>63</v>
      </c>
      <c r="D33" s="81" t="s">
        <v>141</v>
      </c>
      <c r="E33" s="81" t="n">
        <v>1.2</v>
      </c>
      <c r="F33" s="81" t="n">
        <v>1.2</v>
      </c>
      <c r="G33" s="82" t="n">
        <f aca="false">E33*$C$6</f>
        <v>0.0108</v>
      </c>
      <c r="H33" s="82" t="n">
        <f aca="false">F33*$C$6</f>
        <v>0.0108</v>
      </c>
      <c r="I33" s="82"/>
      <c r="J33" s="82"/>
      <c r="K33" s="83" t="n">
        <f aca="false">G33*VLOOKUP($L$11,T:V,3,0)</f>
        <v>0.0054</v>
      </c>
      <c r="L33" s="83" t="n">
        <f aca="false">H33*VLOOKUP($L$11,T:V,3,0)</f>
        <v>0.0054</v>
      </c>
      <c r="M33" s="83" t="n">
        <f aca="false">K33*$L$10%</f>
        <v>0.0027</v>
      </c>
      <c r="N33" s="83" t="n">
        <f aca="false">L33*$L$10%</f>
        <v>0.0027</v>
      </c>
      <c r="O33" s="83"/>
      <c r="P33" s="83"/>
      <c r="Q33" s="19"/>
      <c r="R33" s="19"/>
      <c r="T33" s="72" t="n">
        <v>29</v>
      </c>
      <c r="U33" s="72" t="n">
        <v>0.0479</v>
      </c>
      <c r="V33" s="73" t="n">
        <v>0.282</v>
      </c>
    </row>
    <row r="34" customFormat="false" ht="12.8" hidden="false" customHeight="false" outlineLevel="0" collapsed="false">
      <c r="A34" s="1" t="str">
        <f aca="false">B34&amp;"-"&amp;C34</f>
        <v>64-65</v>
      </c>
      <c r="B34" s="81" t="n">
        <v>64</v>
      </c>
      <c r="C34" s="81" t="n">
        <v>65</v>
      </c>
      <c r="D34" s="81" t="s">
        <v>142</v>
      </c>
      <c r="E34" s="81" t="n">
        <v>1.3</v>
      </c>
      <c r="F34" s="81" t="n">
        <v>1.3</v>
      </c>
      <c r="G34" s="82" t="n">
        <f aca="false">E34*$C$6</f>
        <v>0.0117</v>
      </c>
      <c r="H34" s="82" t="n">
        <f aca="false">F34*$C$6</f>
        <v>0.0117</v>
      </c>
      <c r="I34" s="82"/>
      <c r="J34" s="82"/>
      <c r="K34" s="83" t="n">
        <f aca="false">G34*VLOOKUP($L$11,T:V,3,0)</f>
        <v>0.00585</v>
      </c>
      <c r="L34" s="83" t="n">
        <f aca="false">H34*VLOOKUP($L$11,T:V,3,0)</f>
        <v>0.00585</v>
      </c>
      <c r="M34" s="83" t="n">
        <f aca="false">K34*$L$10%</f>
        <v>0.002925</v>
      </c>
      <c r="N34" s="83" t="n">
        <f aca="false">L34*$L$10%</f>
        <v>0.002925</v>
      </c>
      <c r="O34" s="83"/>
      <c r="P34" s="83"/>
      <c r="Q34" s="19"/>
      <c r="R34" s="19"/>
      <c r="T34" s="86" t="n">
        <v>30</v>
      </c>
      <c r="U34" s="72" t="n">
        <v>0.0486</v>
      </c>
      <c r="V34" s="73" t="n">
        <v>0.286</v>
      </c>
    </row>
    <row r="35" customFormat="false" ht="12.8" hidden="false" customHeight="false" outlineLevel="0" collapsed="false">
      <c r="Q35" s="19" t="n">
        <v>0.1</v>
      </c>
      <c r="R35" s="19" t="n">
        <v>0.05</v>
      </c>
      <c r="T35" s="70" t="n">
        <v>31</v>
      </c>
      <c r="U35" s="72" t="n">
        <v>0.0493</v>
      </c>
      <c r="V35" s="73" t="n">
        <v>0.29</v>
      </c>
    </row>
    <row r="36" customFormat="false" ht="12.8" hidden="false" customHeight="false" outlineLevel="0" collapsed="false">
      <c r="Q36" s="19"/>
      <c r="R36" s="19"/>
      <c r="T36" s="72" t="n">
        <v>32</v>
      </c>
      <c r="U36" s="72" t="n">
        <v>0.05</v>
      </c>
      <c r="V36" s="73" t="n">
        <v>0.294</v>
      </c>
    </row>
    <row r="37" customFormat="false" ht="12.8" hidden="false" customHeight="false" outlineLevel="0" collapsed="false">
      <c r="H37" s="1" t="n">
        <v>2627900.33</v>
      </c>
      <c r="I37" s="20" t="n">
        <f aca="false">H37*I27</f>
        <v>0</v>
      </c>
      <c r="J37" s="20"/>
      <c r="K37" s="20"/>
      <c r="L37" s="20"/>
      <c r="M37" s="20" t="n">
        <f aca="false">H37*M27</f>
        <v>2956.38787125</v>
      </c>
      <c r="T37" s="72" t="n">
        <v>33</v>
      </c>
      <c r="U37" s="72" t="n">
        <v>0.0507</v>
      </c>
      <c r="V37" s="73" t="n">
        <v>0.299</v>
      </c>
    </row>
    <row r="38" customFormat="false" ht="12.8" hidden="false" customHeight="false" outlineLevel="0" collapsed="false">
      <c r="T38" s="70" t="n">
        <v>34</v>
      </c>
      <c r="U38" s="72" t="n">
        <v>0.0515</v>
      </c>
      <c r="V38" s="73" t="n">
        <v>0.303</v>
      </c>
    </row>
    <row r="39" customFormat="false" ht="12.8" hidden="false" customHeight="false" outlineLevel="0" collapsed="false">
      <c r="T39" s="70" t="n">
        <v>35</v>
      </c>
      <c r="U39" s="72" t="n">
        <v>0.0523</v>
      </c>
      <c r="V39" s="73" t="n">
        <v>0.308</v>
      </c>
    </row>
    <row r="40" customFormat="false" ht="12.8" hidden="false" customHeight="false" outlineLevel="0" collapsed="false">
      <c r="T40" s="72" t="n">
        <v>36</v>
      </c>
      <c r="U40" s="72" t="n">
        <v>0.0531</v>
      </c>
      <c r="V40" s="73" t="n">
        <v>0.313</v>
      </c>
    </row>
    <row r="41" customFormat="false" ht="12.8" hidden="false" customHeight="false" outlineLevel="0" collapsed="false">
      <c r="C41" s="1" t="s">
        <v>143</v>
      </c>
      <c r="G41" s="1" t="s">
        <v>93</v>
      </c>
      <c r="H41" s="1" t="n">
        <v>5</v>
      </c>
      <c r="I41" s="1" t="s">
        <v>93</v>
      </c>
      <c r="J41" s="74" t="n">
        <v>5</v>
      </c>
      <c r="K41" s="1" t="s">
        <v>93</v>
      </c>
      <c r="L41" s="75" t="n">
        <f aca="false">Калькулятор!C19+Калькулятор!C20</f>
        <v>10</v>
      </c>
      <c r="M41" s="1" t="s">
        <v>93</v>
      </c>
      <c r="N41" s="76" t="n">
        <v>5</v>
      </c>
      <c r="O41" s="76"/>
      <c r="P41" s="76"/>
      <c r="T41" s="72" t="n">
        <v>37</v>
      </c>
      <c r="U41" s="70" t="n">
        <v>0.054</v>
      </c>
      <c r="V41" s="71" t="n">
        <v>0.317</v>
      </c>
    </row>
    <row r="42" customFormat="false" ht="12.8" hidden="false" customHeight="false" outlineLevel="0" collapsed="false">
      <c r="G42" s="1" t="s">
        <v>101</v>
      </c>
      <c r="H42" s="1" t="n">
        <v>50</v>
      </c>
      <c r="I42" s="1" t="s">
        <v>30</v>
      </c>
      <c r="J42" s="74" t="n">
        <v>0</v>
      </c>
      <c r="K42" s="1" t="s">
        <v>30</v>
      </c>
      <c r="L42" s="75" t="n">
        <f aca="false">Калькулятор!C21</f>
        <v>0</v>
      </c>
      <c r="M42" s="1" t="s">
        <v>30</v>
      </c>
      <c r="N42" s="76" t="n">
        <v>40</v>
      </c>
      <c r="O42" s="76"/>
      <c r="P42" s="76"/>
      <c r="T42" s="72" t="n">
        <v>38</v>
      </c>
      <c r="U42" s="72" t="n">
        <v>0.0548</v>
      </c>
      <c r="V42" s="73" t="n">
        <v>0.323</v>
      </c>
    </row>
    <row r="43" customFormat="false" ht="12.8" hidden="false" customHeight="false" outlineLevel="0" collapsed="false">
      <c r="G43" s="1" t="s">
        <v>33</v>
      </c>
      <c r="H43" s="1" t="n">
        <v>25</v>
      </c>
      <c r="I43" s="1" t="s">
        <v>33</v>
      </c>
      <c r="J43" s="74" t="n">
        <v>0</v>
      </c>
      <c r="K43" s="1" t="s">
        <v>33</v>
      </c>
      <c r="L43" s="75" t="n">
        <f aca="false">Калькулятор!C23+Калькулятор!C24</f>
        <v>50</v>
      </c>
      <c r="M43" s="1" t="s">
        <v>33</v>
      </c>
      <c r="N43" s="76" t="n">
        <v>25</v>
      </c>
      <c r="O43" s="76"/>
      <c r="P43" s="76"/>
      <c r="T43" s="72" t="n">
        <v>39</v>
      </c>
      <c r="U43" s="72" t="n">
        <v>0.0557</v>
      </c>
      <c r="V43" s="73" t="n">
        <v>0.328</v>
      </c>
    </row>
    <row r="44" customFormat="false" ht="12.8" hidden="false" customHeight="false" outlineLevel="0" collapsed="false">
      <c r="H44" s="1" t="n">
        <f aca="false">SUM(H41:H43)</f>
        <v>80</v>
      </c>
      <c r="J44" s="1" t="n">
        <f aca="false">SUM(J41:J43)</f>
        <v>5</v>
      </c>
      <c r="L44" s="1" t="n">
        <f aca="false">SUM(L41:L43)</f>
        <v>60</v>
      </c>
      <c r="N44" s="1" t="n">
        <f aca="false">SUM(N41:N43)</f>
        <v>70</v>
      </c>
      <c r="T44" s="72" t="n">
        <v>40</v>
      </c>
      <c r="U44" s="72" t="n">
        <v>0.0567</v>
      </c>
      <c r="V44" s="73" t="n">
        <v>0.333</v>
      </c>
    </row>
    <row r="45" customFormat="false" ht="12.8" hidden="false" customHeight="false" outlineLevel="0" collapsed="false">
      <c r="T45" s="70" t="n">
        <v>41</v>
      </c>
      <c r="U45" s="70" t="n">
        <v>0.0576</v>
      </c>
      <c r="V45" s="71" t="n">
        <v>0.339</v>
      </c>
    </row>
    <row r="46" customFormat="false" ht="13.8" hidden="false" customHeight="false" outlineLevel="0" collapsed="false">
      <c r="G46" s="78" t="s">
        <v>43</v>
      </c>
      <c r="H46" s="78"/>
      <c r="I46" s="78" t="str">
        <f aca="false">"Тариф с РВД " &amp;J44 &amp;"%"</f>
        <v>Тариф с РВД 5%</v>
      </c>
      <c r="J46" s="78"/>
      <c r="K46" s="78" t="str">
        <f aca="false">"Партнерский Тариф с РВД " &amp;L43 &amp;"%"</f>
        <v>Партнерский Тариф с РВД 50%</v>
      </c>
      <c r="L46" s="78"/>
      <c r="M46" s="78" t="str">
        <f aca="false">"Партнерский Тариф с РВД " &amp;N43 &amp;"%"</f>
        <v>Партнерский Тариф с РВД 25%</v>
      </c>
      <c r="N46" s="78"/>
      <c r="O46" s="78"/>
      <c r="P46" s="78"/>
      <c r="T46" s="72" t="n">
        <v>42</v>
      </c>
      <c r="U46" s="72" t="n">
        <v>0.0586</v>
      </c>
      <c r="V46" s="73" t="n">
        <v>0.345</v>
      </c>
    </row>
    <row r="47" customFormat="false" ht="12.8" hidden="false" customHeight="false" outlineLevel="0" collapsed="false">
      <c r="B47" s="1" t="s">
        <v>43</v>
      </c>
      <c r="C47" s="87" t="n">
        <v>0.0017</v>
      </c>
      <c r="D47" s="87"/>
      <c r="G47" s="19" t="n">
        <f aca="false">C47</f>
        <v>0.0017</v>
      </c>
      <c r="I47" s="19" t="n">
        <f aca="false">G47*VLOOKUP($J$44,T:V,3,0)</f>
        <v>0.0003587</v>
      </c>
      <c r="K47" s="19" t="n">
        <f aca="false">G47*VLOOKUP($L$44,T:V,3,0)</f>
        <v>0.00085</v>
      </c>
      <c r="M47" s="19" t="n">
        <f aca="false">G47*VLOOKUP($N$44,T:V,3,0)</f>
        <v>0.0011339</v>
      </c>
      <c r="T47" s="72" t="n">
        <v>43</v>
      </c>
      <c r="U47" s="72" t="n">
        <v>0.0596</v>
      </c>
      <c r="V47" s="73" t="n">
        <v>0.351</v>
      </c>
    </row>
    <row r="48" customFormat="false" ht="12.8" hidden="false" customHeight="false" outlineLevel="0" collapsed="false">
      <c r="B48" s="1" t="s">
        <v>144</v>
      </c>
      <c r="C48" s="87" t="n">
        <v>0.0015</v>
      </c>
      <c r="D48" s="87"/>
      <c r="G48" s="19" t="n">
        <f aca="false">C48</f>
        <v>0.0015</v>
      </c>
      <c r="I48" s="19" t="n">
        <f aca="false">G48*VLOOKUP($J$44,T:V,3,0)</f>
        <v>0.0003165</v>
      </c>
      <c r="K48" s="19" t="n">
        <f aca="false">G48*VLOOKUP($L$44,T:V,3,0)</f>
        <v>0.00075</v>
      </c>
      <c r="M48" s="19" t="n">
        <f aca="false">G48*VLOOKUP($N$44,T:V,3,0)</f>
        <v>0.0010005</v>
      </c>
      <c r="T48" s="72" t="n">
        <v>44</v>
      </c>
      <c r="U48" s="72" t="n">
        <v>0.0607</v>
      </c>
      <c r="V48" s="73" t="n">
        <v>0.357</v>
      </c>
    </row>
    <row r="49" customFormat="false" ht="12.8" hidden="false" customHeight="false" outlineLevel="0" collapsed="false">
      <c r="C49" s="12"/>
      <c r="D49" s="12"/>
      <c r="T49" s="72" t="n">
        <v>45</v>
      </c>
      <c r="U49" s="72" t="n">
        <v>0.0618</v>
      </c>
      <c r="V49" s="73" t="n">
        <v>0.364</v>
      </c>
    </row>
    <row r="50" customFormat="false" ht="12.8" hidden="false" customHeight="false" outlineLevel="0" collapsed="false">
      <c r="B50" s="1" t="s">
        <v>145</v>
      </c>
      <c r="C50" s="12" t="n">
        <v>1.2</v>
      </c>
      <c r="D50" s="12"/>
      <c r="T50" s="72" t="n">
        <v>46</v>
      </c>
      <c r="U50" s="72" t="n">
        <v>0.063</v>
      </c>
      <c r="V50" s="73" t="n">
        <v>0.37</v>
      </c>
    </row>
    <row r="51" customFormat="false" ht="12.8" hidden="false" customHeight="false" outlineLevel="0" collapsed="false">
      <c r="B51" s="1" t="s">
        <v>17</v>
      </c>
      <c r="C51" s="12" t="n">
        <v>0.8</v>
      </c>
      <c r="D51" s="12"/>
      <c r="T51" s="70" t="n">
        <v>47</v>
      </c>
      <c r="U51" s="72" t="n">
        <v>0.0642</v>
      </c>
      <c r="V51" s="73" t="n">
        <v>0.377</v>
      </c>
    </row>
    <row r="52" customFormat="false" ht="12.8" hidden="false" customHeight="false" outlineLevel="0" collapsed="false">
      <c r="B52" s="1" t="s">
        <v>146</v>
      </c>
      <c r="C52" s="12" t="n">
        <v>1</v>
      </c>
      <c r="D52" s="12"/>
      <c r="H52" s="20" t="n">
        <v>2627900.33</v>
      </c>
      <c r="I52" s="20" t="n">
        <f aca="false">H52*I47</f>
        <v>942.627848371</v>
      </c>
      <c r="M52" s="20" t="n">
        <f aca="false">H52*M47</f>
        <v>2979.776184187</v>
      </c>
      <c r="T52" s="72" t="n">
        <v>48</v>
      </c>
      <c r="U52" s="72" t="n">
        <v>0.0654</v>
      </c>
      <c r="V52" s="73" t="n">
        <v>0.385</v>
      </c>
    </row>
    <row r="53" customFormat="false" ht="12.8" hidden="false" customHeight="false" outlineLevel="0" collapsed="false">
      <c r="B53" s="1" t="s">
        <v>147</v>
      </c>
      <c r="C53" s="12" t="n">
        <v>1.2</v>
      </c>
      <c r="D53" s="12"/>
      <c r="T53" s="72" t="n">
        <v>49</v>
      </c>
      <c r="U53" s="72" t="n">
        <v>0.0667</v>
      </c>
      <c r="V53" s="73" t="n">
        <v>0.392</v>
      </c>
    </row>
    <row r="54" customFormat="false" ht="12.8" hidden="false" customHeight="false" outlineLevel="0" collapsed="false">
      <c r="T54" s="72" t="n">
        <v>50</v>
      </c>
      <c r="U54" s="72" t="n">
        <v>0.068</v>
      </c>
      <c r="V54" s="73" t="n">
        <v>0.4</v>
      </c>
    </row>
    <row r="55" customFormat="false" ht="13.8" hidden="false" customHeight="false" outlineLevel="0" collapsed="false">
      <c r="B55" s="88" t="s">
        <v>148</v>
      </c>
      <c r="C55" s="89" t="n">
        <v>2.2</v>
      </c>
      <c r="D55" s="89"/>
      <c r="I55" s="20" t="n">
        <f aca="false">SUM(I37,I52)</f>
        <v>942.627848371</v>
      </c>
      <c r="J55" s="20"/>
      <c r="K55" s="20"/>
      <c r="L55" s="20"/>
      <c r="M55" s="20" t="n">
        <f aca="false">SUM(M37,M52)</f>
        <v>5936.164055437</v>
      </c>
      <c r="T55" s="72" t="n">
        <v>51</v>
      </c>
      <c r="U55" s="72" t="n">
        <v>0.0694</v>
      </c>
      <c r="V55" s="73" t="n">
        <v>0.408</v>
      </c>
    </row>
    <row r="56" customFormat="false" ht="13.8" hidden="false" customHeight="false" outlineLevel="0" collapsed="false">
      <c r="B56" s="88" t="s">
        <v>20</v>
      </c>
      <c r="C56" s="89" t="n">
        <v>1</v>
      </c>
      <c r="D56" s="89"/>
      <c r="T56" s="72" t="n">
        <v>52</v>
      </c>
      <c r="U56" s="72" t="n">
        <v>0.0708</v>
      </c>
      <c r="V56" s="73" t="n">
        <v>0.417</v>
      </c>
    </row>
    <row r="57" customFormat="false" ht="13.8" hidden="false" customHeight="false" outlineLevel="0" collapsed="false">
      <c r="B57" s="88" t="s">
        <v>149</v>
      </c>
      <c r="C57" s="89" t="s">
        <v>150</v>
      </c>
      <c r="D57" s="89"/>
      <c r="T57" s="72" t="n">
        <v>53</v>
      </c>
      <c r="U57" s="72" t="n">
        <v>0.0723</v>
      </c>
      <c r="V57" s="73" t="n">
        <v>0.426</v>
      </c>
    </row>
    <row r="58" customFormat="false" ht="13.8" hidden="false" customHeight="false" outlineLevel="0" collapsed="false">
      <c r="B58" s="88" t="s">
        <v>151</v>
      </c>
      <c r="C58" s="89" t="n">
        <v>0.8</v>
      </c>
      <c r="D58" s="89"/>
      <c r="T58" s="72" t="n">
        <v>54</v>
      </c>
      <c r="U58" s="72" t="n">
        <v>0.0739</v>
      </c>
      <c r="V58" s="73" t="n">
        <v>0.435</v>
      </c>
    </row>
    <row r="59" customFormat="false" ht="13.8" hidden="false" customHeight="false" outlineLevel="0" collapsed="false">
      <c r="B59" s="90" t="s">
        <v>23</v>
      </c>
      <c r="C59" s="91" t="s">
        <v>152</v>
      </c>
      <c r="D59" s="91"/>
      <c r="T59" s="72" t="n">
        <v>55</v>
      </c>
      <c r="U59" s="72" t="n">
        <v>0.0756</v>
      </c>
      <c r="V59" s="73" t="n">
        <v>0.444</v>
      </c>
    </row>
    <row r="60" customFormat="false" ht="12.8" hidden="false" customHeight="false" outlineLevel="0" collapsed="false">
      <c r="A60" s="1" t="n">
        <v>0</v>
      </c>
      <c r="B60" s="92" t="s">
        <v>153</v>
      </c>
      <c r="C60" s="89" t="n">
        <v>0.7</v>
      </c>
      <c r="D60" s="89"/>
      <c r="T60" s="72"/>
      <c r="U60" s="72"/>
      <c r="V60" s="73"/>
    </row>
    <row r="61" customFormat="false" ht="12.8" hidden="false" customHeight="false" outlineLevel="0" collapsed="false">
      <c r="A61" s="1" t="n">
        <v>20</v>
      </c>
      <c r="B61" s="92" t="s">
        <v>154</v>
      </c>
      <c r="C61" s="89" t="n">
        <v>0.8</v>
      </c>
      <c r="D61" s="89"/>
      <c r="T61" s="72" t="n">
        <v>56</v>
      </c>
      <c r="U61" s="72" t="n">
        <v>0.0773</v>
      </c>
      <c r="V61" s="73" t="n">
        <v>0.455</v>
      </c>
    </row>
    <row r="62" customFormat="false" ht="13.8" hidden="false" customHeight="false" outlineLevel="0" collapsed="false">
      <c r="A62" s="1" t="n">
        <v>30</v>
      </c>
      <c r="B62" s="88" t="s">
        <v>155</v>
      </c>
      <c r="C62" s="89" t="n">
        <v>0.9</v>
      </c>
      <c r="D62" s="89"/>
      <c r="T62" s="72" t="n">
        <v>57</v>
      </c>
      <c r="U62" s="72" t="n">
        <v>0.0791</v>
      </c>
      <c r="V62" s="73" t="n">
        <v>0.465</v>
      </c>
    </row>
    <row r="63" customFormat="false" ht="13.8" hidden="false" customHeight="false" outlineLevel="0" collapsed="false">
      <c r="A63" s="1" t="n">
        <v>60</v>
      </c>
      <c r="B63" s="88" t="n">
        <v>60</v>
      </c>
      <c r="C63" s="89" t="n">
        <v>1</v>
      </c>
      <c r="D63" s="89"/>
      <c r="T63" s="72" t="n">
        <v>58</v>
      </c>
      <c r="U63" s="72" t="n">
        <v>0.081</v>
      </c>
      <c r="V63" s="73" t="n">
        <v>0.476</v>
      </c>
    </row>
    <row r="64" customFormat="false" ht="13.8" hidden="false" customHeight="false" outlineLevel="0" collapsed="false">
      <c r="A64" s="1" t="n">
        <v>61</v>
      </c>
      <c r="B64" s="88" t="n">
        <v>61</v>
      </c>
      <c r="C64" s="1" t="s">
        <v>156</v>
      </c>
      <c r="E64" s="89" t="s">
        <v>157</v>
      </c>
      <c r="T64" s="72" t="n">
        <v>59</v>
      </c>
      <c r="U64" s="72" t="n">
        <v>0.0829</v>
      </c>
      <c r="V64" s="73" t="n">
        <v>0.488</v>
      </c>
    </row>
    <row r="65" customFormat="false" ht="12.8" hidden="false" customHeight="false" outlineLevel="0" collapsed="false">
      <c r="T65" s="72" t="n">
        <v>60</v>
      </c>
      <c r="U65" s="72" t="n">
        <v>0.085</v>
      </c>
      <c r="V65" s="73" t="n">
        <v>0.5</v>
      </c>
    </row>
    <row r="66" customFormat="false" ht="12.8" hidden="false" customHeight="false" outlineLevel="0" collapsed="false">
      <c r="T66" s="72" t="n">
        <v>61</v>
      </c>
      <c r="U66" s="72" t="n">
        <v>0.0872</v>
      </c>
      <c r="V66" s="73" t="n">
        <v>0.513</v>
      </c>
    </row>
    <row r="67" customFormat="false" ht="12.8" hidden="false" customHeight="false" outlineLevel="0" collapsed="false">
      <c r="K67" s="1" t="s">
        <v>93</v>
      </c>
      <c r="L67" s="75" t="n">
        <f aca="false">Калькулятор!C19+Калькулятор!C20</f>
        <v>10</v>
      </c>
      <c r="T67" s="72" t="n">
        <v>62</v>
      </c>
      <c r="U67" s="72" t="n">
        <v>0.0895</v>
      </c>
      <c r="V67" s="73" t="n">
        <v>0.526</v>
      </c>
    </row>
    <row r="68" customFormat="false" ht="12.8" hidden="false" customHeight="false" outlineLevel="0" collapsed="false">
      <c r="K68" s="1" t="s">
        <v>30</v>
      </c>
      <c r="L68" s="75" t="n">
        <f aca="false">Калькулятор!C21</f>
        <v>0</v>
      </c>
      <c r="T68" s="72" t="n">
        <v>63</v>
      </c>
      <c r="U68" s="72" t="n">
        <v>0.0919</v>
      </c>
      <c r="V68" s="73" t="n">
        <v>0.541</v>
      </c>
    </row>
    <row r="69" customFormat="false" ht="12.8" hidden="false" customHeight="false" outlineLevel="0" collapsed="false">
      <c r="K69" s="1" t="s">
        <v>33</v>
      </c>
      <c r="L69" s="75" t="n">
        <f aca="false">Калькулятор!C23+Калькулятор!C24</f>
        <v>50</v>
      </c>
      <c r="T69" s="72" t="n">
        <v>64</v>
      </c>
      <c r="U69" s="72" t="n">
        <v>0.0944</v>
      </c>
      <c r="V69" s="73" t="n">
        <v>0.556</v>
      </c>
    </row>
    <row r="70" customFormat="false" ht="12.8" hidden="false" customHeight="false" outlineLevel="0" collapsed="false">
      <c r="L70" s="1" t="n">
        <f aca="false">SUM(L67:L69)</f>
        <v>60</v>
      </c>
      <c r="T70" s="72" t="n">
        <v>65</v>
      </c>
      <c r="U70" s="72" t="n">
        <v>0.0971</v>
      </c>
      <c r="V70" s="73" t="n">
        <v>0.571</v>
      </c>
    </row>
    <row r="71" customFormat="false" ht="12.8" hidden="false" customHeight="false" outlineLevel="0" collapsed="false">
      <c r="T71" s="72" t="n">
        <v>66</v>
      </c>
      <c r="U71" s="72" t="n">
        <v>0.1</v>
      </c>
      <c r="V71" s="73" t="n">
        <v>0.588</v>
      </c>
    </row>
    <row r="72" customFormat="false" ht="13.8" hidden="false" customHeight="false" outlineLevel="0" collapsed="false">
      <c r="K72" s="78" t="str">
        <f aca="false">"Партнерский Тариф с РВД " &amp;L69 &amp;"%"</f>
        <v>Партнерский Тариф с РВД 50%</v>
      </c>
      <c r="L72" s="78"/>
      <c r="T72" s="72" t="n">
        <v>67</v>
      </c>
      <c r="U72" s="72" t="n">
        <v>0.103</v>
      </c>
      <c r="V72" s="73" t="n">
        <v>0.606</v>
      </c>
    </row>
    <row r="73" customFormat="false" ht="12.8" hidden="false" customHeight="false" outlineLevel="0" collapsed="false">
      <c r="G73" s="19" t="n">
        <v>0.0033</v>
      </c>
      <c r="K73" s="19" t="n">
        <f aca="false">G73*VLOOKUP($L$44,T:V,3,0)</f>
        <v>0.00165</v>
      </c>
      <c r="T73" s="72" t="n">
        <v>68</v>
      </c>
      <c r="U73" s="72" t="n">
        <v>0.1063</v>
      </c>
      <c r="V73" s="73" t="n">
        <v>0.625</v>
      </c>
    </row>
    <row r="74" customFormat="false" ht="12.8" hidden="false" customHeight="false" outlineLevel="0" collapsed="false">
      <c r="K74" s="19" t="n">
        <f aca="false">G74*VLOOKUP($L$44,T:V,3,0)</f>
        <v>0</v>
      </c>
      <c r="T74" s="72" t="n">
        <v>69</v>
      </c>
      <c r="U74" s="72" t="n">
        <v>0.1097</v>
      </c>
      <c r="V74" s="73" t="n">
        <v>0.645</v>
      </c>
    </row>
    <row r="75" customFormat="false" ht="12.8" hidden="false" customHeight="false" outlineLevel="0" collapsed="false">
      <c r="T75" s="86" t="n">
        <v>70</v>
      </c>
      <c r="U75" s="72" t="n">
        <v>0.1133</v>
      </c>
      <c r="V75" s="73" t="n">
        <v>0.667</v>
      </c>
    </row>
    <row r="76" customFormat="false" ht="12.8" hidden="false" customHeight="false" outlineLevel="0" collapsed="false">
      <c r="T76" s="72" t="n">
        <v>71</v>
      </c>
      <c r="U76" s="72" t="n">
        <v>0.1172</v>
      </c>
      <c r="V76" s="73" t="n">
        <v>0.69</v>
      </c>
    </row>
    <row r="77" customFormat="false" ht="12.8" hidden="false" customHeight="false" outlineLevel="0" collapsed="false">
      <c r="T77" s="72" t="n">
        <v>72</v>
      </c>
      <c r="U77" s="72" t="n">
        <v>0.1214</v>
      </c>
      <c r="V77" s="73" t="n">
        <v>0.714</v>
      </c>
    </row>
    <row r="78" customFormat="false" ht="12.8" hidden="false" customHeight="false" outlineLevel="0" collapsed="false">
      <c r="T78" s="72" t="n">
        <v>73</v>
      </c>
      <c r="U78" s="72" t="n">
        <v>0.1259</v>
      </c>
      <c r="V78" s="73" t="n">
        <v>0.741</v>
      </c>
    </row>
    <row r="79" customFormat="false" ht="12.8" hidden="false" customHeight="false" outlineLevel="0" collapsed="false">
      <c r="T79" s="70" t="n">
        <v>74</v>
      </c>
      <c r="U79" s="72" t="n">
        <v>0.1308</v>
      </c>
      <c r="V79" s="73" t="n">
        <v>0.769</v>
      </c>
    </row>
    <row r="80" customFormat="false" ht="12.8" hidden="false" customHeight="false" outlineLevel="0" collapsed="false">
      <c r="T80" s="72" t="n">
        <v>75</v>
      </c>
      <c r="U80" s="72" t="n">
        <v>0.136</v>
      </c>
      <c r="V80" s="73" t="n">
        <v>0.8</v>
      </c>
    </row>
    <row r="81" customFormat="false" ht="12.8" hidden="false" customHeight="false" outlineLevel="0" collapsed="false">
      <c r="T81" s="72" t="n">
        <v>76</v>
      </c>
      <c r="U81" s="72" t="n">
        <v>0.1417</v>
      </c>
      <c r="V81" s="73" t="n">
        <v>0.833</v>
      </c>
    </row>
    <row r="82" customFormat="false" ht="12.8" hidden="false" customHeight="false" outlineLevel="0" collapsed="false">
      <c r="T82" s="72" t="n">
        <v>77</v>
      </c>
      <c r="U82" s="72" t="n">
        <v>0.1478</v>
      </c>
      <c r="V82" s="73" t="n">
        <v>0.87</v>
      </c>
    </row>
    <row r="83" customFormat="false" ht="12.8" hidden="false" customHeight="false" outlineLevel="0" collapsed="false">
      <c r="T83" s="72" t="n">
        <v>78</v>
      </c>
      <c r="U83" s="72" t="n">
        <v>0.1545</v>
      </c>
      <c r="V83" s="73" t="n">
        <v>0.909</v>
      </c>
    </row>
    <row r="84" customFormat="false" ht="12.8" hidden="false" customHeight="false" outlineLevel="0" collapsed="false">
      <c r="T84" s="72" t="n">
        <v>79</v>
      </c>
      <c r="U84" s="72" t="n">
        <v>0.1619</v>
      </c>
      <c r="V84" s="73" t="n">
        <v>0.952</v>
      </c>
    </row>
    <row r="85" customFormat="false" ht="12.8" hidden="false" customHeight="false" outlineLevel="0" collapsed="false">
      <c r="T85" s="72" t="n">
        <v>80</v>
      </c>
      <c r="U85" s="72" t="n">
        <v>0.17</v>
      </c>
      <c r="V85" s="73" t="n">
        <v>1</v>
      </c>
    </row>
  </sheetData>
  <mergeCells count="11">
    <mergeCell ref="E15:F15"/>
    <mergeCell ref="G15:H15"/>
    <mergeCell ref="I15:J15"/>
    <mergeCell ref="K15:L15"/>
    <mergeCell ref="M15:N15"/>
    <mergeCell ref="O15:P15"/>
    <mergeCell ref="G46:H46"/>
    <mergeCell ref="I46:J46"/>
    <mergeCell ref="K46:L46"/>
    <mergeCell ref="M46:N46"/>
    <mergeCell ref="K72:L7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2"/>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L7" activeCellId="0" sqref="L7"/>
    </sheetView>
  </sheetViews>
  <sheetFormatPr defaultColWidth="11.53515625" defaultRowHeight="12.8" zeroHeight="false" outlineLevelRow="0" outlineLevelCol="0"/>
  <cols>
    <col collapsed="false" customWidth="true" hidden="false" outlineLevel="0" max="1" min="1" style="1" width="36.03"/>
    <col collapsed="false" customWidth="true" hidden="true" outlineLevel="0" max="2" min="2" style="1" width="14.06"/>
    <col collapsed="false" customWidth="true" hidden="false" outlineLevel="0" max="3" min="3" style="93" width="19.75"/>
    <col collapsed="false" customWidth="true" hidden="false" outlineLevel="0" max="4" min="4" style="1" width="18.92"/>
    <col collapsed="false" customWidth="true" hidden="false" outlineLevel="0" max="6" min="6" style="1" width="23.93"/>
    <col collapsed="false" customWidth="true" hidden="false" outlineLevel="0" max="7" min="7" style="1" width="28.1"/>
    <col collapsed="false" customWidth="false" hidden="false" outlineLevel="0" max="11" min="8" style="1" width="11.53"/>
    <col collapsed="false" customWidth="true" hidden="false" outlineLevel="0" max="12" min="12" style="1" width="15.3"/>
    <col collapsed="false" customWidth="false" hidden="false" outlineLevel="0" max="15" min="13" style="1" width="11.53"/>
  </cols>
  <sheetData>
    <row r="1" customFormat="false" ht="23.85" hidden="false" customHeight="false" outlineLevel="0" collapsed="false">
      <c r="A1" s="94" t="s">
        <v>158</v>
      </c>
      <c r="B1" s="95" t="s">
        <v>159</v>
      </c>
      <c r="C1" s="96" t="s">
        <v>160</v>
      </c>
      <c r="D1" s="96" t="s">
        <v>161</v>
      </c>
      <c r="F1" s="97" t="s">
        <v>162</v>
      </c>
      <c r="G1" s="97" t="s">
        <v>163</v>
      </c>
      <c r="J1" s="1" t="s">
        <v>164</v>
      </c>
      <c r="L1" s="1" t="s">
        <v>25</v>
      </c>
      <c r="M1" s="1" t="s">
        <v>165</v>
      </c>
      <c r="N1" s="1" t="s">
        <v>166</v>
      </c>
    </row>
    <row r="2" customFormat="false" ht="12.8" hidden="false" customHeight="false" outlineLevel="0" collapsed="false">
      <c r="A2" s="98" t="s">
        <v>26</v>
      </c>
      <c r="B2" s="98" t="n">
        <v>70</v>
      </c>
      <c r="C2" s="93" t="n">
        <v>60</v>
      </c>
      <c r="D2" s="93" t="n">
        <v>50</v>
      </c>
      <c r="F2" s="99" t="s">
        <v>167</v>
      </c>
      <c r="G2" s="79" t="s">
        <v>168</v>
      </c>
      <c r="J2" s="1" t="s">
        <v>32</v>
      </c>
      <c r="K2" s="1" t="s">
        <v>40</v>
      </c>
      <c r="L2" s="79" t="s">
        <v>169</v>
      </c>
      <c r="M2" s="1" t="n">
        <v>50</v>
      </c>
      <c r="Q2" s="1" t="n">
        <v>0</v>
      </c>
    </row>
    <row r="3" customFormat="false" ht="12.8" hidden="false" customHeight="false" outlineLevel="0" collapsed="false">
      <c r="A3" s="98" t="s">
        <v>170</v>
      </c>
      <c r="B3" s="98" t="n">
        <v>30</v>
      </c>
      <c r="C3" s="93" t="n">
        <v>20</v>
      </c>
      <c r="D3" s="93" t="n">
        <v>12</v>
      </c>
      <c r="F3" s="79" t="s">
        <v>96</v>
      </c>
      <c r="G3" s="100"/>
      <c r="J3" s="1" t="s">
        <v>171</v>
      </c>
      <c r="K3" s="1" t="s">
        <v>12</v>
      </c>
      <c r="L3" s="1" t="s">
        <v>172</v>
      </c>
      <c r="N3" s="1" t="s">
        <v>40</v>
      </c>
      <c r="Q3" s="1" t="n">
        <v>0</v>
      </c>
    </row>
    <row r="4" customFormat="false" ht="12.85" hidden="false" customHeight="false" outlineLevel="0" collapsed="false">
      <c r="A4" s="98" t="s">
        <v>173</v>
      </c>
      <c r="B4" s="98" t="n">
        <v>35</v>
      </c>
      <c r="C4" s="93" t="n">
        <v>35</v>
      </c>
      <c r="D4" s="93" t="n">
        <v>20</v>
      </c>
      <c r="F4" s="79" t="s">
        <v>174</v>
      </c>
      <c r="G4" s="101" t="s">
        <v>175</v>
      </c>
      <c r="L4" s="6" t="s">
        <v>176</v>
      </c>
      <c r="M4" s="1" t="n">
        <v>55</v>
      </c>
      <c r="N4" s="1" t="s">
        <v>12</v>
      </c>
      <c r="O4" s="1" t="n">
        <v>55</v>
      </c>
      <c r="Q4" s="1" t="n">
        <v>10</v>
      </c>
    </row>
    <row r="5" customFormat="false" ht="12.8" hidden="false" customHeight="false" outlineLevel="0" collapsed="false">
      <c r="A5" s="98" t="s">
        <v>177</v>
      </c>
      <c r="B5" s="98" t="n">
        <v>40</v>
      </c>
      <c r="C5" s="93" t="n">
        <v>20</v>
      </c>
      <c r="D5" s="93" t="n">
        <v>14</v>
      </c>
      <c r="F5" s="1" t="s">
        <v>147</v>
      </c>
      <c r="G5" s="101" t="s">
        <v>178</v>
      </c>
      <c r="L5" s="6" t="s">
        <v>170</v>
      </c>
      <c r="M5" s="1" t="n">
        <v>50</v>
      </c>
      <c r="N5" s="1" t="s">
        <v>40</v>
      </c>
      <c r="O5" s="1" t="n">
        <v>55</v>
      </c>
      <c r="Q5" s="1" t="n">
        <v>10</v>
      </c>
    </row>
    <row r="6" customFormat="false" ht="12.8" hidden="false" customHeight="false" outlineLevel="0" collapsed="false">
      <c r="A6" s="98" t="s">
        <v>179</v>
      </c>
      <c r="B6" s="98" t="n">
        <v>20</v>
      </c>
      <c r="C6" s="93" t="n">
        <v>20</v>
      </c>
      <c r="D6" s="93"/>
      <c r="F6" s="1" t="s">
        <v>17</v>
      </c>
      <c r="G6" s="101" t="s">
        <v>180</v>
      </c>
      <c r="L6" s="1" t="s">
        <v>181</v>
      </c>
      <c r="N6" s="1" t="s">
        <v>40</v>
      </c>
      <c r="Q6" s="1" t="n">
        <v>10</v>
      </c>
    </row>
    <row r="7" customFormat="false" ht="12.8" hidden="false" customHeight="false" outlineLevel="0" collapsed="false">
      <c r="A7" s="98" t="s">
        <v>182</v>
      </c>
      <c r="B7" s="98" t="n">
        <v>70</v>
      </c>
      <c r="C7" s="93" t="n">
        <v>20</v>
      </c>
      <c r="D7" s="93"/>
      <c r="F7" s="1" t="s">
        <v>146</v>
      </c>
      <c r="G7" s="101" t="s">
        <v>183</v>
      </c>
      <c r="L7" s="79"/>
      <c r="M7" s="1" t="n">
        <v>60</v>
      </c>
      <c r="N7" s="1" t="s">
        <v>40</v>
      </c>
      <c r="Q7" s="1" t="n">
        <v>0</v>
      </c>
    </row>
    <row r="8" customFormat="false" ht="13.25" hidden="false" customHeight="false" outlineLevel="0" collapsed="false">
      <c r="A8" s="98" t="s">
        <v>184</v>
      </c>
      <c r="B8" s="98" t="n">
        <v>70</v>
      </c>
      <c r="C8" s="93" t="n">
        <v>20</v>
      </c>
      <c r="D8" s="93"/>
      <c r="F8" s="99" t="s">
        <v>185</v>
      </c>
      <c r="G8" s="79" t="s">
        <v>168</v>
      </c>
      <c r="L8" s="1" t="s">
        <v>186</v>
      </c>
      <c r="N8" s="1" t="s">
        <v>40</v>
      </c>
      <c r="Q8" s="1" t="n">
        <v>0</v>
      </c>
    </row>
    <row r="9" customFormat="false" ht="12.85" hidden="false" customHeight="false" outlineLevel="0" collapsed="false">
      <c r="A9" s="98" t="s">
        <v>169</v>
      </c>
      <c r="B9" s="98" t="n">
        <v>50</v>
      </c>
      <c r="C9" s="93" t="n">
        <v>20</v>
      </c>
      <c r="D9" s="93" t="n">
        <v>30</v>
      </c>
      <c r="F9" s="79" t="s">
        <v>20</v>
      </c>
      <c r="G9" s="101" t="s">
        <v>187</v>
      </c>
      <c r="L9" s="79" t="s">
        <v>188</v>
      </c>
      <c r="N9" s="1" t="s">
        <v>12</v>
      </c>
      <c r="O9" s="1" t="n">
        <v>55</v>
      </c>
      <c r="Q9" s="1" t="n">
        <v>0</v>
      </c>
    </row>
    <row r="10" customFormat="false" ht="23.85" hidden="false" customHeight="false" outlineLevel="0" collapsed="false">
      <c r="A10" s="98" t="s">
        <v>189</v>
      </c>
      <c r="B10" s="98" t="n">
        <v>10</v>
      </c>
      <c r="C10" s="93" t="n">
        <f aca="false">B10</f>
        <v>10</v>
      </c>
      <c r="D10" s="93"/>
      <c r="F10" s="79" t="s">
        <v>190</v>
      </c>
      <c r="G10" s="101" t="s">
        <v>191</v>
      </c>
      <c r="L10" s="79" t="s">
        <v>173</v>
      </c>
      <c r="M10" s="1" t="n">
        <v>0</v>
      </c>
      <c r="N10" s="1" t="s">
        <v>12</v>
      </c>
      <c r="O10" s="1" t="n">
        <v>55</v>
      </c>
      <c r="Q10" s="1" t="n">
        <v>10</v>
      </c>
    </row>
    <row r="11" customFormat="false" ht="13.25" hidden="false" customHeight="false" outlineLevel="0" collapsed="false">
      <c r="A11" s="98" t="s">
        <v>192</v>
      </c>
      <c r="B11" s="98" t="n">
        <v>20</v>
      </c>
      <c r="C11" s="93" t="n">
        <f aca="false">B11</f>
        <v>20</v>
      </c>
      <c r="D11" s="93"/>
      <c r="F11" s="79" t="s">
        <v>193</v>
      </c>
      <c r="G11" s="101" t="s">
        <v>194</v>
      </c>
      <c r="L11" s="1" t="s">
        <v>195</v>
      </c>
      <c r="M11" s="1" t="n">
        <v>46</v>
      </c>
      <c r="N11" s="1" t="s">
        <v>40</v>
      </c>
      <c r="Q11" s="1" t="n">
        <v>10</v>
      </c>
    </row>
    <row r="12" customFormat="false" ht="13.25" hidden="false" customHeight="false" outlineLevel="0" collapsed="false">
      <c r="A12" s="98" t="s">
        <v>188</v>
      </c>
      <c r="B12" s="98" t="n">
        <v>15</v>
      </c>
      <c r="C12" s="93" t="n">
        <f aca="false">B12</f>
        <v>15</v>
      </c>
      <c r="D12" s="93" t="n">
        <v>10</v>
      </c>
      <c r="F12" s="79" t="s">
        <v>196</v>
      </c>
      <c r="G12" s="101" t="s">
        <v>197</v>
      </c>
      <c r="I12" s="24"/>
      <c r="L12" s="1" t="s">
        <v>26</v>
      </c>
      <c r="M12" s="1" t="n">
        <v>0</v>
      </c>
      <c r="N12" s="1" t="s">
        <v>40</v>
      </c>
      <c r="O12" s="1" t="n">
        <v>55</v>
      </c>
      <c r="P12" s="1" t="n">
        <v>40</v>
      </c>
      <c r="Q12" s="1" t="n">
        <v>0</v>
      </c>
    </row>
    <row r="13" customFormat="false" ht="12.85" hidden="false" customHeight="false" outlineLevel="0" collapsed="false">
      <c r="A13" s="98" t="s">
        <v>198</v>
      </c>
      <c r="B13" s="98" t="n">
        <v>30</v>
      </c>
      <c r="C13" s="93" t="n">
        <v>20</v>
      </c>
      <c r="D13" s="93"/>
      <c r="F13" s="79" t="s">
        <v>199</v>
      </c>
      <c r="G13" s="101" t="s">
        <v>200</v>
      </c>
      <c r="I13" s="24"/>
      <c r="L13" s="1" t="s">
        <v>201</v>
      </c>
      <c r="N13" s="1" t="s">
        <v>12</v>
      </c>
      <c r="O13" s="1" t="n">
        <v>55</v>
      </c>
      <c r="Q13" s="1" t="n">
        <v>0</v>
      </c>
    </row>
    <row r="14" customFormat="false" ht="13.25" hidden="false" customHeight="false" outlineLevel="0" collapsed="false">
      <c r="A14" s="98" t="s">
        <v>186</v>
      </c>
      <c r="B14" s="98" t="n">
        <v>70</v>
      </c>
      <c r="C14" s="93" t="n">
        <v>20</v>
      </c>
      <c r="D14" s="93"/>
      <c r="I14" s="24"/>
      <c r="L14" s="1" t="s">
        <v>182</v>
      </c>
      <c r="N14" s="1" t="s">
        <v>40</v>
      </c>
      <c r="Q14" s="1" t="n">
        <v>0</v>
      </c>
    </row>
    <row r="15" customFormat="false" ht="12.85" hidden="false" customHeight="false" outlineLevel="0" collapsed="false">
      <c r="A15" s="98" t="s">
        <v>202</v>
      </c>
      <c r="B15" s="98" t="n">
        <v>20</v>
      </c>
      <c r="C15" s="93" t="n">
        <f aca="false">B15</f>
        <v>20</v>
      </c>
      <c r="D15" s="93" t="n">
        <v>20</v>
      </c>
      <c r="I15" s="24"/>
      <c r="L15" s="1" t="s">
        <v>202</v>
      </c>
      <c r="M15" s="1" t="n">
        <v>0</v>
      </c>
      <c r="N15" s="1" t="s">
        <v>12</v>
      </c>
      <c r="O15" s="1" t="n">
        <v>55</v>
      </c>
      <c r="Q15" s="1" t="n">
        <v>10</v>
      </c>
    </row>
    <row r="16" customFormat="false" ht="12.8" hidden="false" customHeight="false" outlineLevel="0" collapsed="false">
      <c r="A16" s="98" t="s">
        <v>203</v>
      </c>
      <c r="B16" s="98" t="n">
        <v>15</v>
      </c>
      <c r="C16" s="93" t="n">
        <f aca="false">B16</f>
        <v>15</v>
      </c>
      <c r="D16" s="93"/>
      <c r="L16" s="1" t="s">
        <v>204</v>
      </c>
      <c r="N16" s="1" t="s">
        <v>12</v>
      </c>
      <c r="O16" s="1" t="n">
        <v>55</v>
      </c>
      <c r="Q16" s="1" t="n">
        <v>0</v>
      </c>
    </row>
    <row r="17" customFormat="false" ht="12.8" hidden="false" customHeight="false" outlineLevel="0" collapsed="false">
      <c r="A17" s="98" t="s">
        <v>205</v>
      </c>
      <c r="B17" s="98" t="n">
        <v>30</v>
      </c>
      <c r="C17" s="93" t="n">
        <v>20</v>
      </c>
      <c r="D17" s="93" t="n">
        <v>25</v>
      </c>
    </row>
    <row r="18" customFormat="false" ht="12.8" hidden="false" customHeight="false" outlineLevel="0" collapsed="false">
      <c r="A18" s="98" t="s">
        <v>206</v>
      </c>
      <c r="B18" s="98" t="n">
        <v>20</v>
      </c>
      <c r="C18" s="93" t="n">
        <f aca="false">B18</f>
        <v>20</v>
      </c>
      <c r="D18" s="93" t="n">
        <v>20</v>
      </c>
    </row>
    <row r="19" customFormat="false" ht="12.8" hidden="false" customHeight="true" outlineLevel="0" collapsed="false">
      <c r="A19" s="98" t="s">
        <v>207</v>
      </c>
      <c r="B19" s="98" t="n">
        <v>20</v>
      </c>
      <c r="C19" s="93" t="n">
        <f aca="false">B19</f>
        <v>20</v>
      </c>
      <c r="D19" s="93"/>
      <c r="H19" s="102" t="s">
        <v>208</v>
      </c>
      <c r="I19" s="102"/>
      <c r="J19" s="102"/>
      <c r="K19" s="102"/>
      <c r="L19" s="102"/>
      <c r="M19" s="102"/>
      <c r="N19" s="102"/>
    </row>
    <row r="20" customFormat="false" ht="12.8" hidden="false" customHeight="false" outlineLevel="0" collapsed="false">
      <c r="A20" s="98" t="s">
        <v>204</v>
      </c>
      <c r="B20" s="98" t="n">
        <v>35</v>
      </c>
      <c r="C20" s="93" t="n">
        <v>20</v>
      </c>
      <c r="D20" s="93" t="n">
        <v>20</v>
      </c>
      <c r="H20" s="102"/>
      <c r="I20" s="102"/>
      <c r="J20" s="102"/>
      <c r="K20" s="102"/>
      <c r="L20" s="102"/>
      <c r="M20" s="102"/>
      <c r="N20" s="102"/>
    </row>
    <row r="21" customFormat="false" ht="12.8" hidden="false" customHeight="false" outlineLevel="0" collapsed="false">
      <c r="A21" s="93" t="s">
        <v>195</v>
      </c>
      <c r="B21" s="98" t="n">
        <v>70</v>
      </c>
      <c r="C21" s="93" t="n">
        <v>20</v>
      </c>
      <c r="D21" s="93"/>
      <c r="H21" s="102"/>
      <c r="I21" s="102"/>
      <c r="J21" s="102"/>
      <c r="K21" s="102"/>
      <c r="L21" s="102"/>
      <c r="M21" s="102"/>
      <c r="N21" s="102"/>
    </row>
    <row r="22" customFormat="false" ht="12.8" hidden="false" customHeight="false" outlineLevel="0" collapsed="false">
      <c r="A22" s="98" t="s">
        <v>209</v>
      </c>
      <c r="B22" s="98" t="n">
        <v>25</v>
      </c>
      <c r="C22" s="93" t="n">
        <v>20</v>
      </c>
      <c r="D22" s="93"/>
      <c r="H22" s="102"/>
      <c r="I22" s="102"/>
      <c r="J22" s="102"/>
      <c r="K22" s="102"/>
      <c r="L22" s="102"/>
      <c r="M22" s="102"/>
      <c r="N22" s="102"/>
    </row>
    <row r="23" customFormat="false" ht="12.8" hidden="false" customHeight="false" outlineLevel="0" collapsed="false">
      <c r="A23" s="98" t="s">
        <v>210</v>
      </c>
      <c r="B23" s="98" t="n">
        <v>20</v>
      </c>
      <c r="C23" s="93" t="n">
        <f aca="false">B23</f>
        <v>20</v>
      </c>
      <c r="D23" s="93"/>
      <c r="H23" s="102"/>
      <c r="I23" s="102"/>
      <c r="J23" s="102"/>
      <c r="K23" s="102"/>
      <c r="L23" s="102"/>
      <c r="M23" s="102"/>
      <c r="N23" s="102"/>
    </row>
    <row r="24" customFormat="false" ht="12.8" hidden="false" customHeight="false" outlineLevel="0" collapsed="false">
      <c r="A24" s="98" t="s">
        <v>211</v>
      </c>
      <c r="B24" s="98" t="n">
        <v>20</v>
      </c>
      <c r="C24" s="93" t="n">
        <f aca="false">B24</f>
        <v>20</v>
      </c>
      <c r="D24" s="93"/>
      <c r="H24" s="102"/>
      <c r="I24" s="102"/>
      <c r="J24" s="102"/>
      <c r="K24" s="102"/>
      <c r="L24" s="102"/>
      <c r="M24" s="102"/>
      <c r="N24" s="102"/>
    </row>
    <row r="25" customFormat="false" ht="12.8" hidden="false" customHeight="false" outlineLevel="0" collapsed="false">
      <c r="A25" s="98" t="s">
        <v>212</v>
      </c>
      <c r="B25" s="98" t="n">
        <v>15</v>
      </c>
      <c r="C25" s="93" t="n">
        <f aca="false">B25</f>
        <v>15</v>
      </c>
      <c r="D25" s="93"/>
    </row>
    <row r="26" customFormat="false" ht="12.8" hidden="false" customHeight="false" outlineLevel="0" collapsed="false">
      <c r="A26" s="98" t="s">
        <v>213</v>
      </c>
      <c r="B26" s="98" t="n">
        <v>10</v>
      </c>
      <c r="C26" s="93" t="n">
        <f aca="false">B26</f>
        <v>10</v>
      </c>
      <c r="D26" s="93"/>
    </row>
    <row r="27" customFormat="false" ht="12.8" hidden="false" customHeight="false" outlineLevel="0" collapsed="false">
      <c r="A27" s="98" t="s">
        <v>214</v>
      </c>
      <c r="B27" s="98" t="n">
        <v>70</v>
      </c>
      <c r="C27" s="93" t="n">
        <v>20</v>
      </c>
      <c r="D27" s="93"/>
    </row>
    <row r="28" customFormat="false" ht="12.8" hidden="false" customHeight="false" outlineLevel="0" collapsed="false">
      <c r="A28" s="98" t="s">
        <v>215</v>
      </c>
      <c r="B28" s="98" t="n">
        <v>5</v>
      </c>
      <c r="C28" s="93" t="n">
        <f aca="false">B28</f>
        <v>5</v>
      </c>
      <c r="D28" s="93"/>
    </row>
    <row r="29" customFormat="false" ht="12.8" hidden="false" customHeight="false" outlineLevel="0" collapsed="false">
      <c r="A29" s="98" t="s">
        <v>216</v>
      </c>
      <c r="B29" s="98" t="n">
        <v>30</v>
      </c>
      <c r="C29" s="93" t="n">
        <v>20</v>
      </c>
      <c r="D29" s="93"/>
    </row>
    <row r="30" customFormat="false" ht="12.8" hidden="false" customHeight="false" outlineLevel="0" collapsed="false">
      <c r="A30" s="98" t="s">
        <v>217</v>
      </c>
      <c r="B30" s="98" t="n">
        <v>15</v>
      </c>
      <c r="C30" s="93" t="n">
        <f aca="false">B30</f>
        <v>15</v>
      </c>
      <c r="D30" s="93"/>
    </row>
    <row r="31" customFormat="false" ht="12.8" hidden="false" customHeight="false" outlineLevel="0" collapsed="false">
      <c r="A31" s="98" t="s">
        <v>218</v>
      </c>
      <c r="B31" s="98" t="n">
        <v>15</v>
      </c>
      <c r="C31" s="93" t="n">
        <f aca="false">B31</f>
        <v>15</v>
      </c>
      <c r="D31" s="93"/>
    </row>
    <row r="32" customFormat="false" ht="12.8" hidden="false" customHeight="false" outlineLevel="0" collapsed="false">
      <c r="A32" s="98" t="s">
        <v>219</v>
      </c>
      <c r="B32" s="98" t="n">
        <v>20</v>
      </c>
      <c r="C32" s="93" t="n">
        <f aca="false">B32</f>
        <v>20</v>
      </c>
      <c r="D32" s="93"/>
    </row>
    <row r="33" customFormat="false" ht="12.8" hidden="false" customHeight="false" outlineLevel="0" collapsed="false">
      <c r="A33" s="98" t="s">
        <v>220</v>
      </c>
      <c r="B33" s="98" t="n">
        <v>20</v>
      </c>
      <c r="C33" s="93" t="n">
        <f aca="false">B33</f>
        <v>20</v>
      </c>
      <c r="D33" s="93"/>
    </row>
    <row r="34" customFormat="false" ht="12.8" hidden="false" customHeight="false" outlineLevel="0" collapsed="false">
      <c r="A34" s="98" t="s">
        <v>221</v>
      </c>
      <c r="B34" s="98" t="n">
        <v>5</v>
      </c>
      <c r="C34" s="93" t="n">
        <v>5</v>
      </c>
      <c r="D34" s="93"/>
    </row>
    <row r="35" customFormat="false" ht="12.8" hidden="false" customHeight="false" outlineLevel="0" collapsed="false">
      <c r="A35" s="98" t="s">
        <v>222</v>
      </c>
      <c r="B35" s="98" t="n">
        <v>15</v>
      </c>
      <c r="C35" s="93" t="n">
        <v>15</v>
      </c>
      <c r="D35" s="93"/>
    </row>
    <row r="36" customFormat="false" ht="12.8" hidden="false" customHeight="false" outlineLevel="0" collapsed="false">
      <c r="A36" s="98" t="s">
        <v>223</v>
      </c>
      <c r="B36" s="98" t="n">
        <v>20</v>
      </c>
      <c r="C36" s="93" t="n">
        <v>20</v>
      </c>
      <c r="D36" s="93"/>
    </row>
    <row r="37" customFormat="false" ht="12.8" hidden="false" customHeight="false" outlineLevel="0" collapsed="false">
      <c r="A37" s="98" t="s">
        <v>224</v>
      </c>
      <c r="B37" s="98" t="n">
        <v>25</v>
      </c>
      <c r="C37" s="93" t="n">
        <v>20</v>
      </c>
      <c r="D37" s="93"/>
    </row>
    <row r="38" customFormat="false" ht="12.8" hidden="false" customHeight="false" outlineLevel="0" collapsed="false">
      <c r="A38" s="98" t="s">
        <v>225</v>
      </c>
      <c r="B38" s="98" t="n">
        <v>50</v>
      </c>
      <c r="C38" s="93" t="n">
        <v>20</v>
      </c>
      <c r="D38" s="93"/>
    </row>
    <row r="39" customFormat="false" ht="12.8" hidden="false" customHeight="false" outlineLevel="0" collapsed="false">
      <c r="A39" s="98" t="s">
        <v>226</v>
      </c>
      <c r="B39" s="98" t="n">
        <v>5</v>
      </c>
      <c r="C39" s="93" t="n">
        <v>5</v>
      </c>
      <c r="D39" s="93"/>
    </row>
    <row r="40" customFormat="false" ht="12.8" hidden="false" customHeight="false" outlineLevel="0" collapsed="false">
      <c r="A40" s="98" t="s">
        <v>227</v>
      </c>
      <c r="B40" s="98" t="n">
        <v>30</v>
      </c>
      <c r="C40" s="93" t="n">
        <v>20</v>
      </c>
      <c r="D40" s="93"/>
    </row>
    <row r="41" customFormat="false" ht="12.8" hidden="false" customHeight="false" outlineLevel="0" collapsed="false">
      <c r="A41" s="98" t="s">
        <v>228</v>
      </c>
      <c r="B41" s="98" t="n">
        <v>0</v>
      </c>
      <c r="C41" s="93" t="n">
        <f aca="false">B41</f>
        <v>0</v>
      </c>
      <c r="D41" s="93"/>
    </row>
    <row r="42" customFormat="false" ht="12.8" hidden="false" customHeight="false" outlineLevel="0" collapsed="false">
      <c r="A42" s="98" t="s">
        <v>229</v>
      </c>
      <c r="B42" s="98" t="n">
        <v>15</v>
      </c>
      <c r="C42" s="93" t="n">
        <v>15</v>
      </c>
      <c r="D42" s="93"/>
    </row>
    <row r="43" customFormat="false" ht="12.8" hidden="false" customHeight="false" outlineLevel="0" collapsed="false">
      <c r="A43" s="98" t="s">
        <v>230</v>
      </c>
      <c r="B43" s="98" t="n">
        <v>0</v>
      </c>
      <c r="C43" s="93" t="n">
        <v>0</v>
      </c>
      <c r="D43" s="93"/>
    </row>
    <row r="44" customFormat="false" ht="12.8" hidden="false" customHeight="false" outlineLevel="0" collapsed="false">
      <c r="A44" s="98" t="s">
        <v>231</v>
      </c>
      <c r="B44" s="98" t="n">
        <v>50</v>
      </c>
      <c r="C44" s="93" t="n">
        <v>20</v>
      </c>
      <c r="D44" s="93"/>
    </row>
    <row r="45" customFormat="false" ht="12.8" hidden="false" customHeight="false" outlineLevel="0" collapsed="false">
      <c r="A45" s="98" t="s">
        <v>232</v>
      </c>
      <c r="B45" s="98" t="n">
        <v>20</v>
      </c>
      <c r="C45" s="93" t="n">
        <v>20</v>
      </c>
      <c r="D45" s="93"/>
    </row>
    <row r="46" customFormat="false" ht="12.8" hidden="false" customHeight="false" outlineLevel="0" collapsed="false">
      <c r="A46" s="98" t="s">
        <v>233</v>
      </c>
      <c r="B46" s="98" t="n">
        <v>10</v>
      </c>
      <c r="C46" s="93" t="n">
        <v>10</v>
      </c>
      <c r="D46" s="93"/>
    </row>
    <row r="47" customFormat="false" ht="12.8" hidden="false" customHeight="false" outlineLevel="0" collapsed="false">
      <c r="A47" s="98" t="s">
        <v>234</v>
      </c>
      <c r="B47" s="98" t="n">
        <v>15</v>
      </c>
      <c r="C47" s="93" t="n">
        <f aca="false">B47</f>
        <v>15</v>
      </c>
      <c r="D47" s="93"/>
    </row>
    <row r="48" customFormat="false" ht="12.8" hidden="false" customHeight="false" outlineLevel="0" collapsed="false">
      <c r="A48" s="98" t="s">
        <v>235</v>
      </c>
      <c r="B48" s="98" t="n">
        <v>5</v>
      </c>
      <c r="C48" s="93" t="n">
        <f aca="false">B48</f>
        <v>5</v>
      </c>
      <c r="D48" s="93"/>
    </row>
    <row r="49" customFormat="false" ht="12.8" hidden="false" customHeight="false" outlineLevel="0" collapsed="false">
      <c r="A49" s="98" t="s">
        <v>236</v>
      </c>
      <c r="B49" s="98" t="n">
        <v>15</v>
      </c>
      <c r="C49" s="93" t="n">
        <f aca="false">B49</f>
        <v>15</v>
      </c>
      <c r="D49" s="93"/>
    </row>
    <row r="50" customFormat="false" ht="12.8" hidden="false" customHeight="false" outlineLevel="0" collapsed="false">
      <c r="A50" s="98" t="s">
        <v>237</v>
      </c>
      <c r="B50" s="98" t="n">
        <v>20</v>
      </c>
      <c r="C50" s="93" t="n">
        <f aca="false">B50</f>
        <v>20</v>
      </c>
      <c r="D50" s="93"/>
    </row>
    <row r="51" customFormat="false" ht="12.8" hidden="false" customHeight="false" outlineLevel="0" collapsed="false">
      <c r="A51" s="98" t="s">
        <v>238</v>
      </c>
      <c r="B51" s="98" t="n">
        <v>20</v>
      </c>
      <c r="C51" s="93" t="n">
        <f aca="false">B51</f>
        <v>20</v>
      </c>
      <c r="D51" s="93"/>
    </row>
    <row r="52" customFormat="false" ht="12.8" hidden="false" customHeight="false" outlineLevel="0" collapsed="false">
      <c r="A52" s="98" t="s">
        <v>239</v>
      </c>
      <c r="B52" s="98" t="n">
        <v>20</v>
      </c>
      <c r="C52" s="93" t="n">
        <f aca="false">B52</f>
        <v>20</v>
      </c>
      <c r="D52" s="93"/>
    </row>
    <row r="53" customFormat="false" ht="12.8" hidden="false" customHeight="false" outlineLevel="0" collapsed="false">
      <c r="A53" s="98" t="s">
        <v>240</v>
      </c>
      <c r="B53" s="98" t="n">
        <v>20</v>
      </c>
      <c r="C53" s="93" t="n">
        <f aca="false">B53</f>
        <v>20</v>
      </c>
      <c r="D53" s="93"/>
    </row>
    <row r="54" customFormat="false" ht="12.8" hidden="false" customHeight="false" outlineLevel="0" collapsed="false">
      <c r="A54" s="98" t="s">
        <v>241</v>
      </c>
      <c r="B54" s="98" t="n">
        <v>15</v>
      </c>
      <c r="C54" s="93" t="n">
        <f aca="false">B54</f>
        <v>15</v>
      </c>
      <c r="D54" s="93"/>
    </row>
    <row r="55" customFormat="false" ht="12.8" hidden="false" customHeight="false" outlineLevel="0" collapsed="false">
      <c r="A55" s="98" t="s">
        <v>242</v>
      </c>
      <c r="B55" s="98" t="n">
        <v>50</v>
      </c>
      <c r="C55" s="93" t="n">
        <v>20</v>
      </c>
      <c r="D55" s="93"/>
    </row>
    <row r="56" customFormat="false" ht="12.8" hidden="false" customHeight="false" outlineLevel="0" collapsed="false">
      <c r="A56" s="98" t="s">
        <v>243</v>
      </c>
      <c r="B56" s="98" t="n">
        <v>20</v>
      </c>
      <c r="C56" s="93" t="n">
        <f aca="false">B56</f>
        <v>20</v>
      </c>
      <c r="D56" s="93"/>
    </row>
    <row r="57" customFormat="false" ht="23.85" hidden="false" customHeight="false" outlineLevel="0" collapsed="false">
      <c r="A57" s="98" t="s">
        <v>244</v>
      </c>
      <c r="B57" s="98" t="n">
        <v>10</v>
      </c>
      <c r="C57" s="93" t="n">
        <f aca="false">B57</f>
        <v>10</v>
      </c>
      <c r="D57" s="93"/>
    </row>
    <row r="58" customFormat="false" ht="12.8" hidden="false" customHeight="false" outlineLevel="0" collapsed="false">
      <c r="A58" s="98" t="s">
        <v>245</v>
      </c>
      <c r="B58" s="98" t="n">
        <v>15</v>
      </c>
      <c r="C58" s="93" t="n">
        <f aca="false">B58</f>
        <v>15</v>
      </c>
      <c r="D58" s="93"/>
    </row>
    <row r="59" customFormat="false" ht="46.25" hidden="false" customHeight="false" outlineLevel="0" collapsed="false">
      <c r="A59" s="98" t="s">
        <v>246</v>
      </c>
      <c r="B59" s="98" t="n">
        <v>20</v>
      </c>
      <c r="C59" s="93" t="n">
        <f aca="false">B59</f>
        <v>20</v>
      </c>
      <c r="D59" s="93"/>
    </row>
    <row r="60" customFormat="false" ht="68.65" hidden="false" customHeight="false" outlineLevel="0" collapsed="false">
      <c r="A60" s="98" t="s">
        <v>247</v>
      </c>
      <c r="B60" s="98" t="n">
        <v>15</v>
      </c>
      <c r="C60" s="93" t="n">
        <f aca="false">B60</f>
        <v>15</v>
      </c>
      <c r="D60" s="93"/>
    </row>
    <row r="61" customFormat="false" ht="12.8" hidden="false" customHeight="false" outlineLevel="0" collapsed="false">
      <c r="A61" s="98" t="s">
        <v>248</v>
      </c>
      <c r="B61" s="98" t="n">
        <v>0</v>
      </c>
      <c r="C61" s="93" t="n">
        <f aca="false">B61</f>
        <v>0</v>
      </c>
      <c r="D61" s="93"/>
    </row>
    <row r="62" customFormat="false" ht="23.85" hidden="false" customHeight="false" outlineLevel="0" collapsed="false">
      <c r="A62" s="98" t="s">
        <v>249</v>
      </c>
      <c r="B62" s="98" t="n">
        <v>5</v>
      </c>
      <c r="C62" s="93" t="n">
        <f aca="false">B62</f>
        <v>5</v>
      </c>
      <c r="D62" s="93"/>
    </row>
    <row r="63" customFormat="false" ht="12.8" hidden="false" customHeight="false" outlineLevel="0" collapsed="false">
      <c r="A63" s="98" t="s">
        <v>250</v>
      </c>
      <c r="B63" s="98" t="n">
        <v>10</v>
      </c>
      <c r="C63" s="93" t="n">
        <f aca="false">B63</f>
        <v>10</v>
      </c>
      <c r="D63" s="93"/>
    </row>
    <row r="64" customFormat="false" ht="23.85" hidden="false" customHeight="false" outlineLevel="0" collapsed="false">
      <c r="A64" s="98" t="s">
        <v>251</v>
      </c>
      <c r="B64" s="98" t="n">
        <v>15</v>
      </c>
      <c r="C64" s="93" t="n">
        <f aca="false">B64</f>
        <v>15</v>
      </c>
      <c r="D64" s="93"/>
    </row>
    <row r="65" customFormat="false" ht="35.05" hidden="false" customHeight="false" outlineLevel="0" collapsed="false">
      <c r="A65" s="98" t="s">
        <v>252</v>
      </c>
      <c r="B65" s="98" t="n">
        <v>10</v>
      </c>
      <c r="C65" s="93" t="n">
        <f aca="false">B65</f>
        <v>10</v>
      </c>
      <c r="D65" s="93"/>
    </row>
    <row r="66" customFormat="false" ht="23.85" hidden="false" customHeight="false" outlineLevel="0" collapsed="false">
      <c r="A66" s="98" t="s">
        <v>253</v>
      </c>
      <c r="B66" s="98" t="n">
        <v>30</v>
      </c>
      <c r="C66" s="93" t="n">
        <v>20</v>
      </c>
      <c r="D66" s="93"/>
    </row>
    <row r="67" customFormat="false" ht="35.05" hidden="false" customHeight="false" outlineLevel="0" collapsed="false">
      <c r="A67" s="98" t="s">
        <v>254</v>
      </c>
      <c r="B67" s="98" t="n">
        <v>10</v>
      </c>
      <c r="C67" s="93" t="n">
        <f aca="false">B67</f>
        <v>10</v>
      </c>
      <c r="D67" s="93"/>
    </row>
    <row r="68" customFormat="false" ht="23.85" hidden="false" customHeight="false" outlineLevel="0" collapsed="false">
      <c r="A68" s="98" t="s">
        <v>255</v>
      </c>
      <c r="B68" s="98" t="n">
        <v>0</v>
      </c>
      <c r="C68" s="93" t="n">
        <f aca="false">B68</f>
        <v>0</v>
      </c>
      <c r="D68" s="93"/>
    </row>
    <row r="69" customFormat="false" ht="35.05" hidden="false" customHeight="false" outlineLevel="0" collapsed="false">
      <c r="A69" s="98" t="s">
        <v>256</v>
      </c>
      <c r="B69" s="98" t="n">
        <v>5</v>
      </c>
      <c r="C69" s="93" t="n">
        <f aca="false">B69</f>
        <v>5</v>
      </c>
      <c r="D69" s="93"/>
    </row>
    <row r="70" customFormat="false" ht="23.85" hidden="false" customHeight="false" outlineLevel="0" collapsed="false">
      <c r="A70" s="98" t="s">
        <v>257</v>
      </c>
      <c r="B70" s="98" t="n">
        <v>25</v>
      </c>
      <c r="C70" s="93" t="n">
        <v>20</v>
      </c>
      <c r="D70" s="93"/>
    </row>
    <row r="71" customFormat="false" ht="23.85" hidden="false" customHeight="false" outlineLevel="0" collapsed="false">
      <c r="A71" s="98" t="s">
        <v>258</v>
      </c>
      <c r="B71" s="98" t="n">
        <v>45</v>
      </c>
      <c r="C71" s="93" t="n">
        <v>20</v>
      </c>
      <c r="D71" s="93"/>
    </row>
    <row r="72" customFormat="false" ht="12.8" hidden="false" customHeight="false" outlineLevel="0" collapsed="false">
      <c r="A72" s="98" t="s">
        <v>259</v>
      </c>
      <c r="B72" s="98" t="n">
        <v>10</v>
      </c>
      <c r="C72" s="93" t="n">
        <f aca="false">B72</f>
        <v>10</v>
      </c>
      <c r="D72" s="93"/>
    </row>
    <row r="73" customFormat="false" ht="12.8" hidden="false" customHeight="false" outlineLevel="0" collapsed="false">
      <c r="A73" s="98" t="s">
        <v>260</v>
      </c>
      <c r="B73" s="98" t="n">
        <v>20</v>
      </c>
      <c r="C73" s="93" t="n">
        <f aca="false">B73</f>
        <v>20</v>
      </c>
      <c r="D73" s="93"/>
    </row>
    <row r="74" customFormat="false" ht="12.8" hidden="false" customHeight="false" outlineLevel="0" collapsed="false">
      <c r="A74" s="98" t="s">
        <v>261</v>
      </c>
      <c r="B74" s="98" t="n">
        <v>30</v>
      </c>
      <c r="C74" s="93" t="n">
        <v>20</v>
      </c>
      <c r="D74" s="93"/>
    </row>
    <row r="75" customFormat="false" ht="12.8" hidden="false" customHeight="false" outlineLevel="0" collapsed="false">
      <c r="A75" s="98" t="s">
        <v>262</v>
      </c>
      <c r="B75" s="98" t="n">
        <v>30</v>
      </c>
      <c r="C75" s="93" t="n">
        <v>20</v>
      </c>
      <c r="D75" s="93"/>
    </row>
    <row r="76" customFormat="false" ht="12.8" hidden="false" customHeight="false" outlineLevel="0" collapsed="false">
      <c r="A76" s="98" t="s">
        <v>263</v>
      </c>
      <c r="B76" s="98" t="n">
        <v>30</v>
      </c>
      <c r="C76" s="93" t="n">
        <v>20</v>
      </c>
      <c r="D76" s="93"/>
    </row>
    <row r="77" customFormat="false" ht="23.85" hidden="false" customHeight="false" outlineLevel="0" collapsed="false">
      <c r="A77" s="98" t="s">
        <v>264</v>
      </c>
      <c r="B77" s="98" t="n">
        <v>50</v>
      </c>
      <c r="C77" s="93" t="n">
        <v>20</v>
      </c>
      <c r="D77" s="93"/>
    </row>
    <row r="78" customFormat="false" ht="12.8" hidden="false" customHeight="false" outlineLevel="0" collapsed="false">
      <c r="A78" s="98" t="s">
        <v>265</v>
      </c>
      <c r="B78" s="98" t="n">
        <v>20</v>
      </c>
      <c r="C78" s="93" t="n">
        <f aca="false">B78</f>
        <v>20</v>
      </c>
      <c r="D78" s="93"/>
    </row>
    <row r="79" customFormat="false" ht="12.8" hidden="false" customHeight="false" outlineLevel="0" collapsed="false">
      <c r="A79" s="98" t="s">
        <v>266</v>
      </c>
      <c r="B79" s="98" t="n">
        <v>50</v>
      </c>
      <c r="C79" s="93" t="n">
        <v>20</v>
      </c>
      <c r="D79" s="93"/>
    </row>
    <row r="80" customFormat="false" ht="23.85" hidden="false" customHeight="false" outlineLevel="0" collapsed="false">
      <c r="A80" s="98" t="s">
        <v>267</v>
      </c>
      <c r="B80" s="98" t="n">
        <v>10</v>
      </c>
      <c r="C80" s="93" t="n">
        <f aca="false">B80</f>
        <v>10</v>
      </c>
      <c r="D80" s="93"/>
    </row>
    <row r="81" customFormat="false" ht="12.8" hidden="false" customHeight="false" outlineLevel="0" collapsed="false">
      <c r="A81" s="98" t="s">
        <v>268</v>
      </c>
      <c r="B81" s="98" t="n">
        <v>10</v>
      </c>
      <c r="C81" s="93" t="n">
        <f aca="false">B81</f>
        <v>10</v>
      </c>
      <c r="D81" s="93"/>
    </row>
    <row r="82" customFormat="false" ht="12.8" hidden="false" customHeight="false" outlineLevel="0" collapsed="false">
      <c r="A82" s="98" t="s">
        <v>269</v>
      </c>
      <c r="B82" s="98" t="n">
        <v>10</v>
      </c>
      <c r="C82" s="93" t="n">
        <f aca="false">B82</f>
        <v>10</v>
      </c>
      <c r="D82" s="93"/>
    </row>
    <row r="83" customFormat="false" ht="12.8" hidden="false" customHeight="false" outlineLevel="0" collapsed="false">
      <c r="A83" s="98" t="s">
        <v>270</v>
      </c>
      <c r="B83" s="98" t="n">
        <v>40</v>
      </c>
      <c r="C83" s="93" t="n">
        <v>20</v>
      </c>
      <c r="D83" s="93"/>
    </row>
    <row r="84" customFormat="false" ht="12.8" hidden="false" customHeight="false" outlineLevel="0" collapsed="false">
      <c r="A84" s="98" t="s">
        <v>271</v>
      </c>
      <c r="B84" s="98" t="n">
        <v>10</v>
      </c>
      <c r="C84" s="93" t="n">
        <f aca="false">B84</f>
        <v>10</v>
      </c>
      <c r="D84" s="93"/>
    </row>
    <row r="85" customFormat="false" ht="12.8" hidden="false" customHeight="false" outlineLevel="0" collapsed="false">
      <c r="A85" s="98" t="s">
        <v>272</v>
      </c>
      <c r="B85" s="98" t="n">
        <v>20</v>
      </c>
      <c r="C85" s="93" t="n">
        <f aca="false">B85</f>
        <v>20</v>
      </c>
      <c r="D85" s="93"/>
    </row>
    <row r="86" customFormat="false" ht="12.8" hidden="false" customHeight="false" outlineLevel="0" collapsed="false">
      <c r="A86" s="98" t="s">
        <v>273</v>
      </c>
      <c r="B86" s="98" t="n">
        <v>10</v>
      </c>
      <c r="C86" s="93" t="n">
        <f aca="false">B86</f>
        <v>10</v>
      </c>
      <c r="D86" s="93"/>
    </row>
    <row r="87" customFormat="false" ht="12.8" hidden="false" customHeight="false" outlineLevel="0" collapsed="false">
      <c r="A87" s="98" t="s">
        <v>274</v>
      </c>
      <c r="B87" s="98" t="n">
        <v>10</v>
      </c>
      <c r="C87" s="93" t="n">
        <f aca="false">B87</f>
        <v>10</v>
      </c>
      <c r="D87" s="93"/>
    </row>
    <row r="88" customFormat="false" ht="12.8" hidden="false" customHeight="false" outlineLevel="0" collapsed="false">
      <c r="A88" s="98" t="s">
        <v>275</v>
      </c>
      <c r="B88" s="98" t="n">
        <v>10</v>
      </c>
      <c r="C88" s="93" t="n">
        <f aca="false">B88</f>
        <v>10</v>
      </c>
      <c r="D88" s="93"/>
    </row>
    <row r="89" customFormat="false" ht="12.8" hidden="false" customHeight="false" outlineLevel="0" collapsed="false">
      <c r="A89" s="98" t="s">
        <v>276</v>
      </c>
      <c r="B89" s="98" t="n">
        <v>30</v>
      </c>
      <c r="C89" s="93" t="n">
        <v>20</v>
      </c>
      <c r="D89" s="93"/>
    </row>
    <row r="90" customFormat="false" ht="12.8" hidden="false" customHeight="false" outlineLevel="0" collapsed="false">
      <c r="A90" s="98" t="s">
        <v>277</v>
      </c>
      <c r="B90" s="98" t="n">
        <v>45</v>
      </c>
      <c r="C90" s="93" t="n">
        <v>20</v>
      </c>
      <c r="D90" s="93"/>
    </row>
    <row r="91" customFormat="false" ht="12.8" hidden="false" customHeight="false" outlineLevel="0" collapsed="false">
      <c r="A91" s="98" t="s">
        <v>278</v>
      </c>
      <c r="B91" s="98" t="n">
        <v>10</v>
      </c>
      <c r="C91" s="93" t="n">
        <f aca="false">B91</f>
        <v>10</v>
      </c>
      <c r="D91" s="93"/>
    </row>
    <row r="92" customFormat="false" ht="12.8" hidden="false" customHeight="false" outlineLevel="0" collapsed="false">
      <c r="A92" s="98" t="s">
        <v>279</v>
      </c>
      <c r="B92" s="98" t="n">
        <v>50</v>
      </c>
      <c r="C92" s="93" t="n">
        <v>20</v>
      </c>
      <c r="D92" s="93"/>
    </row>
    <row r="93" customFormat="false" ht="12.8" hidden="false" customHeight="false" outlineLevel="0" collapsed="false">
      <c r="A93" s="98" t="s">
        <v>280</v>
      </c>
      <c r="B93" s="98" t="n">
        <v>20</v>
      </c>
      <c r="C93" s="93" t="n">
        <f aca="false">B93</f>
        <v>20</v>
      </c>
      <c r="D93" s="93"/>
    </row>
    <row r="94" customFormat="false" ht="12.8" hidden="false" customHeight="false" outlineLevel="0" collapsed="false">
      <c r="A94" s="98" t="s">
        <v>281</v>
      </c>
      <c r="B94" s="98" t="n">
        <v>35</v>
      </c>
      <c r="C94" s="93" t="n">
        <v>20</v>
      </c>
      <c r="D94" s="93"/>
    </row>
    <row r="95" customFormat="false" ht="12.8" hidden="false" customHeight="false" outlineLevel="0" collapsed="false">
      <c r="A95" s="98" t="s">
        <v>282</v>
      </c>
      <c r="B95" s="98" t="n">
        <v>25</v>
      </c>
      <c r="C95" s="93" t="n">
        <v>20</v>
      </c>
      <c r="D95" s="93"/>
    </row>
    <row r="96" customFormat="false" ht="12.8" hidden="false" customHeight="false" outlineLevel="0" collapsed="false">
      <c r="A96" s="98" t="s">
        <v>283</v>
      </c>
      <c r="B96" s="98" t="n">
        <v>20</v>
      </c>
      <c r="C96" s="93" t="n">
        <f aca="false">B96</f>
        <v>20</v>
      </c>
      <c r="D96" s="93"/>
    </row>
    <row r="97" customFormat="false" ht="12.8" hidden="false" customHeight="false" outlineLevel="0" collapsed="false">
      <c r="A97" s="98" t="s">
        <v>284</v>
      </c>
      <c r="B97" s="98" t="n">
        <v>20</v>
      </c>
      <c r="C97" s="93" t="n">
        <f aca="false">B97</f>
        <v>20</v>
      </c>
      <c r="D97" s="93"/>
    </row>
    <row r="98" customFormat="false" ht="12.8" hidden="false" customHeight="false" outlineLevel="0" collapsed="false">
      <c r="A98" s="98" t="s">
        <v>285</v>
      </c>
      <c r="B98" s="98" t="n">
        <v>15</v>
      </c>
      <c r="C98" s="93" t="n">
        <f aca="false">B98</f>
        <v>15</v>
      </c>
      <c r="D98" s="93"/>
    </row>
    <row r="99" customFormat="false" ht="12.8" hidden="false" customHeight="false" outlineLevel="0" collapsed="false">
      <c r="A99" s="98" t="s">
        <v>286</v>
      </c>
      <c r="B99" s="98" t="n">
        <v>20</v>
      </c>
      <c r="C99" s="93" t="n">
        <f aca="false">B99</f>
        <v>20</v>
      </c>
      <c r="D99" s="93"/>
    </row>
    <row r="100" customFormat="false" ht="35.05" hidden="false" customHeight="false" outlineLevel="0" collapsed="false">
      <c r="A100" s="98" t="s">
        <v>287</v>
      </c>
      <c r="B100" s="98" t="n">
        <v>5</v>
      </c>
      <c r="C100" s="93" t="n">
        <f aca="false">B100</f>
        <v>5</v>
      </c>
      <c r="D100" s="93"/>
    </row>
    <row r="101" customFormat="false" ht="12.8" hidden="false" customHeight="false" outlineLevel="0" collapsed="false">
      <c r="A101" s="98" t="s">
        <v>288</v>
      </c>
      <c r="B101" s="98" t="n">
        <v>10</v>
      </c>
      <c r="C101" s="93" t="n">
        <f aca="false">B101</f>
        <v>10</v>
      </c>
      <c r="D101" s="93"/>
    </row>
    <row r="102" customFormat="false" ht="12.8" hidden="false" customHeight="false" outlineLevel="0" collapsed="false">
      <c r="A102" s="98" t="s">
        <v>289</v>
      </c>
      <c r="B102" s="98" t="n">
        <v>25</v>
      </c>
      <c r="C102" s="93" t="n">
        <v>20</v>
      </c>
      <c r="D102" s="93"/>
    </row>
  </sheetData>
  <autoFilter ref="A1:C102"/>
  <mergeCells count="1">
    <mergeCell ref="H19:N2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4" min="4" style="1" width="14.6"/>
  </cols>
  <sheetData>
    <row r="1" customFormat="false" ht="12.8" hidden="false" customHeight="false" outlineLevel="0" collapsed="false">
      <c r="E1" s="1" t="s">
        <v>290</v>
      </c>
    </row>
    <row r="2" customFormat="false" ht="12.8" hidden="false" customHeight="false" outlineLevel="0" collapsed="false">
      <c r="E2" s="20" t="n">
        <v>1000000</v>
      </c>
      <c r="G2" s="1" t="s">
        <v>291</v>
      </c>
    </row>
    <row r="3" customFormat="false" ht="12.8" hidden="false" customHeight="false" outlineLevel="0" collapsed="false">
      <c r="A3" s="1" t="s">
        <v>292</v>
      </c>
      <c r="B3" s="1" t="s">
        <v>293</v>
      </c>
      <c r="E3" s="1" t="s">
        <v>292</v>
      </c>
      <c r="F3" s="1" t="s">
        <v>293</v>
      </c>
      <c r="G3" s="1" t="s">
        <v>292</v>
      </c>
      <c r="H3" s="1" t="s">
        <v>293</v>
      </c>
    </row>
    <row r="4" customFormat="false" ht="12.8" hidden="false" customHeight="false" outlineLevel="0" collapsed="false">
      <c r="A4" s="1" t="n">
        <v>590</v>
      </c>
      <c r="B4" s="1" t="n">
        <v>2980</v>
      </c>
      <c r="C4" s="20" t="n">
        <f aca="false">B4/A4</f>
        <v>5.05084745762712</v>
      </c>
      <c r="D4" s="1" t="n">
        <v>30</v>
      </c>
      <c r="E4" s="20" t="n">
        <f aca="false">$E$2/A4</f>
        <v>1694.91525423729</v>
      </c>
      <c r="F4" s="20" t="n">
        <f aca="false">$E$2/B4</f>
        <v>335.570469798658</v>
      </c>
      <c r="G4" s="19" t="n">
        <f aca="false">E4/$E$2</f>
        <v>0.00169491525423729</v>
      </c>
      <c r="H4" s="19" t="n">
        <f aca="false">F4/$E$2</f>
        <v>0.000335570469798658</v>
      </c>
    </row>
    <row r="5" customFormat="false" ht="12.8" hidden="false" customHeight="false" outlineLevel="0" collapsed="false">
      <c r="A5" s="1" t="n">
        <v>450</v>
      </c>
      <c r="B5" s="1" t="n">
        <v>1430</v>
      </c>
      <c r="C5" s="20" t="n">
        <f aca="false">B5/A5</f>
        <v>3.17777777777778</v>
      </c>
      <c r="D5" s="1" t="n">
        <v>40</v>
      </c>
      <c r="E5" s="20" t="n">
        <f aca="false">$E$2/A5</f>
        <v>2222.22222222222</v>
      </c>
      <c r="F5" s="20" t="n">
        <f aca="false">$E$2/B5</f>
        <v>699.300699300699</v>
      </c>
      <c r="G5" s="19" t="n">
        <f aca="false">E5/$E$2</f>
        <v>0.00222222222222222</v>
      </c>
      <c r="H5" s="19" t="n">
        <f aca="false">F5/$E$2</f>
        <v>0.000699300699300699</v>
      </c>
    </row>
    <row r="6" customFormat="false" ht="12.8" hidden="false" customHeight="false" outlineLevel="0" collapsed="false">
      <c r="A6" s="1" t="n">
        <v>200</v>
      </c>
      <c r="B6" s="1" t="n">
        <v>630</v>
      </c>
      <c r="C6" s="20" t="n">
        <f aca="false">B6/A6</f>
        <v>3.15</v>
      </c>
      <c r="D6" s="1" t="n">
        <v>50</v>
      </c>
      <c r="E6" s="20" t="n">
        <f aca="false">$E$2/A6</f>
        <v>5000</v>
      </c>
      <c r="F6" s="20" t="n">
        <f aca="false">$E$2/B6</f>
        <v>1587.30158730159</v>
      </c>
      <c r="G6" s="19" t="n">
        <f aca="false">E6/$E$2</f>
        <v>0.005</v>
      </c>
      <c r="H6" s="19" t="n">
        <f aca="false">F6/$E$2</f>
        <v>0.00158730158730159</v>
      </c>
    </row>
    <row r="7" customFormat="false" ht="12.8" hidden="false" customHeight="false" outlineLevel="0" collapsed="false">
      <c r="A7" s="1" t="n">
        <v>80</v>
      </c>
      <c r="B7" s="1" t="n">
        <v>230</v>
      </c>
      <c r="C7" s="20" t="n">
        <f aca="false">B7/A7</f>
        <v>2.875</v>
      </c>
      <c r="D7" s="1" t="n">
        <v>60</v>
      </c>
      <c r="E7" s="20" t="n">
        <f aca="false">$E$2/A7</f>
        <v>12500</v>
      </c>
      <c r="F7" s="20" t="n">
        <f aca="false">$E$2/B7</f>
        <v>4347.82608695652</v>
      </c>
      <c r="G7" s="19" t="n">
        <f aca="false">E7/$E$2</f>
        <v>0.0125</v>
      </c>
      <c r="H7" s="19" t="n">
        <f aca="false">F7/$E$2</f>
        <v>0.00434782608695652</v>
      </c>
    </row>
    <row r="8" customFormat="false" ht="12.8" hidden="false" customHeight="false" outlineLevel="0" collapsed="false">
      <c r="A8" s="1" t="n">
        <v>30</v>
      </c>
      <c r="B8" s="1" t="n">
        <v>90</v>
      </c>
      <c r="C8" s="20" t="n">
        <f aca="false">B8/A8</f>
        <v>3</v>
      </c>
      <c r="D8" s="1" t="n">
        <v>70</v>
      </c>
      <c r="E8" s="20" t="n">
        <f aca="false">$E$2/A8</f>
        <v>33333.3333333333</v>
      </c>
      <c r="F8" s="20" t="n">
        <f aca="false">$E$2/B8</f>
        <v>11111.1111111111</v>
      </c>
      <c r="G8" s="19" t="n">
        <f aca="false">E8/$E$2</f>
        <v>0.0333333333333333</v>
      </c>
      <c r="H8" s="19" t="n">
        <f aca="false">F8/$E$2</f>
        <v>0.0111111111111111</v>
      </c>
    </row>
    <row r="9" customFormat="false" ht="12.8" hidden="false" customHeight="false" outlineLevel="0" collapsed="false">
      <c r="A9" s="1" t="n">
        <v>10</v>
      </c>
      <c r="B9" s="1" t="n">
        <v>20</v>
      </c>
      <c r="C9" s="20" t="n">
        <f aca="false">B9/A9</f>
        <v>2</v>
      </c>
      <c r="D9" s="12"/>
      <c r="E9" s="20" t="n">
        <f aca="false">$E$2/A9</f>
        <v>100000</v>
      </c>
      <c r="F9" s="20" t="n">
        <f aca="false">$E$2/B9</f>
        <v>50000</v>
      </c>
      <c r="G9" s="19" t="n">
        <f aca="false">E9/$E$2</f>
        <v>0.1</v>
      </c>
      <c r="H9" s="19" t="n">
        <f aca="false">F9/$E$2</f>
        <v>0.05</v>
      </c>
    </row>
    <row r="12" customFormat="false" ht="12.8" hidden="false" customHeight="false" outlineLevel="0" collapsed="false">
      <c r="E12" s="1" t="s">
        <v>290</v>
      </c>
    </row>
    <row r="13" customFormat="false" ht="12.8" hidden="false" customHeight="false" outlineLevel="0" collapsed="false">
      <c r="E13" s="103" t="n">
        <v>1000000</v>
      </c>
      <c r="G13" s="1" t="s">
        <v>291</v>
      </c>
    </row>
    <row r="14" customFormat="false" ht="12.8" hidden="false" customHeight="false" outlineLevel="0" collapsed="false">
      <c r="A14" s="1" t="s">
        <v>292</v>
      </c>
      <c r="B14" s="1" t="s">
        <v>293</v>
      </c>
      <c r="E14" s="1" t="s">
        <v>292</v>
      </c>
      <c r="F14" s="1" t="s">
        <v>293</v>
      </c>
      <c r="G14" s="1" t="s">
        <v>292</v>
      </c>
      <c r="H14" s="1" t="s">
        <v>293</v>
      </c>
    </row>
    <row r="15" customFormat="false" ht="12.8" hidden="false" customHeight="false" outlineLevel="0" collapsed="false">
      <c r="A15" s="1" t="n">
        <v>233</v>
      </c>
      <c r="B15" s="1" t="n">
        <v>466</v>
      </c>
      <c r="C15" s="20" t="n">
        <f aca="false">B15/A15</f>
        <v>2</v>
      </c>
      <c r="D15" s="1" t="n">
        <v>30</v>
      </c>
      <c r="E15" s="20" t="n">
        <f aca="false">$E$2/A15</f>
        <v>4291.84549356223</v>
      </c>
      <c r="F15" s="20" t="n">
        <f aca="false">$E$2/B15</f>
        <v>2145.92274678112</v>
      </c>
      <c r="G15" s="19" t="n">
        <f aca="false">E15/$E$2</f>
        <v>0.00429184549356223</v>
      </c>
      <c r="H15" s="19" t="n">
        <f aca="false">F15/$E$2</f>
        <v>0.00214592274678112</v>
      </c>
      <c r="J15" s="20" t="n">
        <f aca="false">0.3%*E13</f>
        <v>3000</v>
      </c>
      <c r="K15" s="103" t="n">
        <f aca="false">J15*A15</f>
        <v>699000</v>
      </c>
    </row>
    <row r="16" customFormat="false" ht="12.8" hidden="false" customHeight="false" outlineLevel="0" collapsed="false">
      <c r="A16" s="1" t="n">
        <v>117</v>
      </c>
      <c r="B16" s="1" t="n">
        <v>251</v>
      </c>
      <c r="C16" s="20" t="n">
        <f aca="false">B16/A16</f>
        <v>2.14529914529915</v>
      </c>
      <c r="D16" s="1" t="n">
        <v>40</v>
      </c>
      <c r="E16" s="20" t="n">
        <f aca="false">$E$2/A16</f>
        <v>8547.00854700855</v>
      </c>
      <c r="F16" s="20" t="n">
        <f aca="false">$E$2/B16</f>
        <v>3984.06374501992</v>
      </c>
      <c r="G16" s="19" t="n">
        <f aca="false">E16/$E$2</f>
        <v>0.00854700854700855</v>
      </c>
      <c r="H16" s="19" t="n">
        <f aca="false">F16/$E$2</f>
        <v>0.00398406374501992</v>
      </c>
      <c r="J16" s="20" t="n">
        <f aca="false">E13*0.5%</f>
        <v>5000</v>
      </c>
      <c r="K16" s="104" t="n">
        <f aca="false">J16*A15</f>
        <v>1165000</v>
      </c>
    </row>
    <row r="17" customFormat="false" ht="12.8" hidden="false" customHeight="false" outlineLevel="0" collapsed="false">
      <c r="A17" s="1" t="n">
        <v>59</v>
      </c>
      <c r="B17" s="1" t="n">
        <v>130</v>
      </c>
      <c r="C17" s="20" t="n">
        <f aca="false">B17/A17</f>
        <v>2.20338983050847</v>
      </c>
      <c r="D17" s="1" t="n">
        <v>50</v>
      </c>
      <c r="E17" s="20" t="n">
        <f aca="false">$E$2/A17</f>
        <v>16949.1525423729</v>
      </c>
      <c r="F17" s="20" t="n">
        <f aca="false">$E$2/B17</f>
        <v>7692.30769230769</v>
      </c>
      <c r="G17" s="19" t="n">
        <f aca="false">E17/$E$2</f>
        <v>0.0169491525423729</v>
      </c>
      <c r="H17" s="19" t="n">
        <f aca="false">F17/$E$2</f>
        <v>0.00769230769230769</v>
      </c>
      <c r="J17" s="20" t="n">
        <f aca="false">J15/(1-0.9)</f>
        <v>30000</v>
      </c>
      <c r="K17" s="20" t="n">
        <f aca="false">J17*A15</f>
        <v>6990000</v>
      </c>
    </row>
    <row r="18" customFormat="false" ht="12.8" hidden="false" customHeight="false" outlineLevel="0" collapsed="false">
      <c r="A18" s="1" t="n">
        <v>28</v>
      </c>
      <c r="B18" s="1" t="n">
        <v>63</v>
      </c>
      <c r="C18" s="20" t="n">
        <f aca="false">B18/A18</f>
        <v>2.25</v>
      </c>
      <c r="D18" s="1" t="n">
        <v>60</v>
      </c>
      <c r="E18" s="20" t="n">
        <f aca="false">$E$2/A18</f>
        <v>35714.2857142857</v>
      </c>
      <c r="F18" s="20" t="n">
        <f aca="false">$E$2/B18</f>
        <v>15873.0158730159</v>
      </c>
      <c r="G18" s="19" t="n">
        <f aca="false">E18/$E$2</f>
        <v>0.0357142857142857</v>
      </c>
      <c r="H18" s="19" t="n">
        <f aca="false">F18/$E$2</f>
        <v>0.0158730158730159</v>
      </c>
      <c r="J18" s="20" t="n">
        <f aca="false">J17*0.9</f>
        <v>27000</v>
      </c>
    </row>
    <row r="19" customFormat="false" ht="12.8" hidden="false" customHeight="false" outlineLevel="0" collapsed="false">
      <c r="A19" s="1" t="n">
        <v>7</v>
      </c>
      <c r="B19" s="1" t="n">
        <v>11</v>
      </c>
      <c r="C19" s="20" t="n">
        <f aca="false">B19/A19</f>
        <v>1.57142857142857</v>
      </c>
      <c r="D19" s="1" t="n">
        <v>70</v>
      </c>
      <c r="E19" s="20" t="n">
        <f aca="false">$E$2/A19</f>
        <v>142857.142857143</v>
      </c>
      <c r="F19" s="20" t="n">
        <f aca="false">$E$2/B19</f>
        <v>90909.0909090909</v>
      </c>
      <c r="G19" s="19" t="n">
        <f aca="false">E19/$E$2</f>
        <v>0.142857142857143</v>
      </c>
      <c r="H19" s="19" t="n">
        <f aca="false">F19/$E$2</f>
        <v>0.0909090909090909</v>
      </c>
    </row>
    <row r="20" customFormat="false" ht="12.8" hidden="false" customHeight="false" outlineLevel="0" collapsed="false">
      <c r="A20" s="1" t="n">
        <v>3</v>
      </c>
      <c r="B20" s="1" t="n">
        <v>4</v>
      </c>
      <c r="C20" s="20" t="n">
        <f aca="false">B20/A20</f>
        <v>1.33333333333333</v>
      </c>
      <c r="D20" s="12"/>
      <c r="E20" s="20" t="n">
        <f aca="false">$E$2/A20</f>
        <v>333333.333333333</v>
      </c>
      <c r="F20" s="20" t="n">
        <f aca="false">$E$2/B20</f>
        <v>250000</v>
      </c>
      <c r="G20" s="19" t="n">
        <f aca="false">E20/$E$2</f>
        <v>0.333333333333333</v>
      </c>
      <c r="H20" s="19" t="n">
        <f aca="false">F20/$E$2</f>
        <v>0.25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J23" activeCellId="0" sqref="J23"/>
    </sheetView>
  </sheetViews>
  <sheetFormatPr defaultColWidth="11.53515625" defaultRowHeight="12.8" zeroHeight="false" outlineLevelRow="0" outlineLevelCol="0"/>
  <cols>
    <col collapsed="false" customWidth="true" hidden="false" outlineLevel="0" max="1" min="1" style="1" width="24.34"/>
    <col collapsed="false" customWidth="true" hidden="false" outlineLevel="0" max="4" min="4" style="1" width="14.74"/>
    <col collapsed="false" customWidth="true" hidden="false" outlineLevel="0" max="5" min="5" style="1" width="12.1"/>
    <col collapsed="false" customWidth="true" hidden="false" outlineLevel="0" max="7" min="6" style="1" width="12.94"/>
    <col collapsed="false" customWidth="true" hidden="false" outlineLevel="0" max="10" min="10" style="1" width="24.76"/>
    <col collapsed="false" customWidth="true" hidden="false" outlineLevel="0" max="12" min="11" style="1" width="23.93"/>
  </cols>
  <sheetData>
    <row r="1" customFormat="false" ht="12.8" hidden="false" customHeight="false" outlineLevel="0" collapsed="false">
      <c r="I1" s="1" t="s">
        <v>294</v>
      </c>
      <c r="J1" s="1" t="s">
        <v>295</v>
      </c>
    </row>
    <row r="2" customFormat="false" ht="12.8" hidden="false" customHeight="false" outlineLevel="0" collapsed="false">
      <c r="I2" s="1" t="s">
        <v>296</v>
      </c>
      <c r="J2" s="1" t="s">
        <v>297</v>
      </c>
    </row>
    <row r="3" customFormat="false" ht="12.8" hidden="false" customHeight="false" outlineLevel="0" collapsed="false">
      <c r="A3" s="94" t="s">
        <v>158</v>
      </c>
      <c r="B3" s="105" t="s">
        <v>32</v>
      </c>
      <c r="C3" s="105" t="s">
        <v>298</v>
      </c>
      <c r="D3" s="105" t="s">
        <v>299</v>
      </c>
      <c r="E3" s="105" t="s">
        <v>300</v>
      </c>
      <c r="F3" s="105" t="s">
        <v>301</v>
      </c>
      <c r="G3" s="105" t="s">
        <v>302</v>
      </c>
      <c r="I3" s="24" t="s">
        <v>299</v>
      </c>
      <c r="J3" s="1" t="s">
        <v>303</v>
      </c>
    </row>
    <row r="4" customFormat="false" ht="12.8" hidden="false" customHeight="false" outlineLevel="0" collapsed="false">
      <c r="A4" s="98" t="s">
        <v>26</v>
      </c>
      <c r="B4" s="93" t="n">
        <v>60</v>
      </c>
      <c r="C4" s="93" t="n">
        <v>55</v>
      </c>
      <c r="D4" s="93" t="n">
        <v>0</v>
      </c>
      <c r="E4" s="93" t="n">
        <v>70</v>
      </c>
      <c r="F4" s="93" t="n">
        <v>70</v>
      </c>
      <c r="G4" s="93"/>
      <c r="I4" s="1" t="s">
        <v>304</v>
      </c>
      <c r="J4" s="24" t="s">
        <v>305</v>
      </c>
    </row>
    <row r="5" customFormat="false" ht="12.8" hidden="false" customHeight="false" outlineLevel="0" collapsed="false">
      <c r="A5" s="98" t="s">
        <v>170</v>
      </c>
      <c r="B5" s="93" t="n">
        <v>25</v>
      </c>
      <c r="C5" s="93" t="n">
        <v>55</v>
      </c>
      <c r="D5" s="93" t="n">
        <v>50</v>
      </c>
      <c r="E5" s="93" t="n">
        <v>70</v>
      </c>
      <c r="F5" s="93" t="n">
        <v>65</v>
      </c>
      <c r="G5" s="93"/>
      <c r="I5" s="1" t="s">
        <v>306</v>
      </c>
    </row>
    <row r="6" customFormat="false" ht="12.8" hidden="false" customHeight="false" outlineLevel="0" collapsed="false">
      <c r="A6" s="98" t="s">
        <v>177</v>
      </c>
      <c r="B6" s="93" t="n">
        <v>20</v>
      </c>
      <c r="C6" s="93" t="n">
        <v>55</v>
      </c>
      <c r="D6" s="93" t="n">
        <v>60</v>
      </c>
      <c r="E6" s="93" t="n">
        <v>70</v>
      </c>
      <c r="F6" s="93" t="n">
        <v>60</v>
      </c>
      <c r="G6" s="93"/>
      <c r="J6" s="3" t="s">
        <v>25</v>
      </c>
      <c r="K6" s="106" t="s">
        <v>170</v>
      </c>
    </row>
    <row r="7" customFormat="false" ht="12.8" hidden="false" customHeight="false" outlineLevel="0" collapsed="false">
      <c r="A7" s="98" t="s">
        <v>184</v>
      </c>
      <c r="B7" s="93" t="n">
        <v>20</v>
      </c>
      <c r="C7" s="93" t="n">
        <v>55</v>
      </c>
      <c r="D7" s="93" t="n">
        <v>55</v>
      </c>
      <c r="E7" s="93" t="n">
        <v>70</v>
      </c>
      <c r="F7" s="93"/>
      <c r="G7" s="93"/>
      <c r="J7" s="3" t="s">
        <v>93</v>
      </c>
      <c r="K7" s="107" t="n">
        <v>5</v>
      </c>
    </row>
    <row r="8" customFormat="false" ht="12.8" hidden="false" customHeight="false" outlineLevel="0" collapsed="false">
      <c r="A8" s="108" t="s">
        <v>195</v>
      </c>
      <c r="B8" s="93" t="n">
        <v>25</v>
      </c>
      <c r="C8" s="93" t="n">
        <v>55</v>
      </c>
      <c r="D8" s="93" t="n">
        <v>46</v>
      </c>
      <c r="E8" s="93" t="n">
        <v>70</v>
      </c>
      <c r="F8" s="93"/>
      <c r="G8" s="93"/>
      <c r="J8" s="3" t="s">
        <v>30</v>
      </c>
      <c r="K8" s="109" t="n">
        <f aca="false">IFERROR(VLOOKUP(K6,Справочно!L2:M20,2,0),"Добавь банк")</f>
        <v>50</v>
      </c>
    </row>
    <row r="9" customFormat="false" ht="12.8" hidden="false" customHeight="false" outlineLevel="0" collapsed="false">
      <c r="A9" s="98" t="s">
        <v>173</v>
      </c>
      <c r="B9" s="93" t="n">
        <v>35</v>
      </c>
      <c r="C9" s="93" t="n">
        <v>55</v>
      </c>
      <c r="D9" s="93"/>
      <c r="E9" s="93"/>
      <c r="F9" s="93" t="n">
        <v>55</v>
      </c>
      <c r="G9" s="93"/>
      <c r="J9" s="3" t="s">
        <v>31</v>
      </c>
      <c r="K9" s="106" t="s">
        <v>171</v>
      </c>
    </row>
    <row r="10" customFormat="false" ht="23.85" hidden="false" customHeight="false" outlineLevel="0" collapsed="false">
      <c r="A10" s="98" t="s">
        <v>214</v>
      </c>
      <c r="B10" s="93" t="n">
        <v>30</v>
      </c>
      <c r="C10" s="93" t="n">
        <v>55</v>
      </c>
      <c r="D10" s="93"/>
      <c r="E10" s="93"/>
      <c r="F10" s="93"/>
      <c r="G10" s="93"/>
      <c r="J10" s="3" t="s">
        <v>33</v>
      </c>
      <c r="K10" s="107" t="n">
        <f aca="false">IF(K9="АСТ",VLOOKUP(K6,#REF!,3,0),0)</f>
        <v>0</v>
      </c>
    </row>
    <row r="11" customFormat="false" ht="12.8" hidden="false" customHeight="false" outlineLevel="0" collapsed="false">
      <c r="A11" s="98" t="s">
        <v>186</v>
      </c>
      <c r="B11" s="93" t="n">
        <v>30</v>
      </c>
      <c r="C11" s="93" t="n">
        <v>55</v>
      </c>
      <c r="D11" s="93"/>
      <c r="E11" s="93"/>
      <c r="F11" s="93"/>
      <c r="G11" s="93"/>
      <c r="J11" s="3" t="s">
        <v>35</v>
      </c>
      <c r="K11" s="107" t="n">
        <f aca="false">SUM(K7:K10)</f>
        <v>55</v>
      </c>
    </row>
    <row r="12" customFormat="false" ht="12.8" hidden="false" customHeight="false" outlineLevel="0" collapsed="false">
      <c r="A12" s="98" t="s">
        <v>206</v>
      </c>
      <c r="B12" s="93" t="n">
        <v>20</v>
      </c>
      <c r="C12" s="93" t="n">
        <v>55</v>
      </c>
      <c r="D12" s="93" t="n">
        <v>50</v>
      </c>
      <c r="E12" s="93"/>
      <c r="F12" s="93"/>
      <c r="G12" s="93"/>
    </row>
    <row r="13" customFormat="false" ht="12.8" hidden="false" customHeight="false" outlineLevel="0" collapsed="false">
      <c r="A13" s="98" t="s">
        <v>205</v>
      </c>
      <c r="B13" s="93" t="n">
        <v>30</v>
      </c>
      <c r="C13" s="93" t="n">
        <v>55</v>
      </c>
      <c r="D13" s="93"/>
      <c r="E13" s="93"/>
      <c r="F13" s="93"/>
      <c r="G13" s="93"/>
    </row>
    <row r="14" customFormat="false" ht="12.8" hidden="false" customHeight="false" outlineLevel="0" collapsed="false">
      <c r="A14" s="98" t="s">
        <v>202</v>
      </c>
      <c r="B14" s="93" t="n">
        <v>20</v>
      </c>
      <c r="C14" s="93" t="n">
        <v>55</v>
      </c>
      <c r="D14" s="93"/>
      <c r="E14" s="93"/>
      <c r="F14" s="93" t="n">
        <v>60</v>
      </c>
      <c r="G14" s="93"/>
    </row>
    <row r="15" customFormat="false" ht="12.8" hidden="false" customHeight="false" outlineLevel="0" collapsed="false">
      <c r="A15" s="98" t="s">
        <v>188</v>
      </c>
      <c r="B15" s="93" t="n">
        <v>15</v>
      </c>
      <c r="C15" s="93" t="n">
        <v>55</v>
      </c>
      <c r="D15" s="93"/>
      <c r="E15" s="93"/>
      <c r="F15" s="93"/>
      <c r="G15" s="93"/>
    </row>
    <row r="16" customFormat="false" ht="12.8" hidden="false" customHeight="false" outlineLevel="0" collapsed="false">
      <c r="A16" s="98" t="s">
        <v>179</v>
      </c>
      <c r="B16" s="93" t="n">
        <v>20</v>
      </c>
      <c r="C16" s="93" t="n">
        <v>55</v>
      </c>
      <c r="D16" s="93"/>
      <c r="E16" s="93"/>
      <c r="F16" s="93"/>
      <c r="G16" s="93"/>
    </row>
    <row r="17" customFormat="false" ht="12.8" hidden="false" customHeight="false" outlineLevel="0" collapsed="false">
      <c r="A17" s="98" t="s">
        <v>182</v>
      </c>
      <c r="B17" s="93" t="n">
        <v>30</v>
      </c>
      <c r="C17" s="93" t="n">
        <v>55</v>
      </c>
      <c r="D17" s="93"/>
      <c r="E17" s="93"/>
      <c r="F17" s="93"/>
      <c r="G17" s="93"/>
    </row>
    <row r="18" customFormat="false" ht="12.8" hidden="false" customHeight="false" outlineLevel="0" collapsed="false">
      <c r="A18" s="98" t="s">
        <v>169</v>
      </c>
      <c r="B18" s="93" t="n">
        <v>20</v>
      </c>
      <c r="C18" s="93" t="n">
        <v>55</v>
      </c>
      <c r="D18" s="93" t="n">
        <v>50</v>
      </c>
      <c r="E18" s="93"/>
      <c r="F18" s="93"/>
      <c r="G18" s="93"/>
    </row>
    <row r="19" customFormat="false" ht="12.8" hidden="false" customHeight="false" outlineLevel="0" collapsed="false">
      <c r="A19" s="98" t="s">
        <v>189</v>
      </c>
      <c r="B19" s="93" t="n">
        <v>10</v>
      </c>
      <c r="C19" s="93" t="n">
        <v>55</v>
      </c>
      <c r="D19" s="93"/>
      <c r="E19" s="93"/>
      <c r="F19" s="93"/>
      <c r="G19" s="93"/>
    </row>
    <row r="20" customFormat="false" ht="12.8" hidden="false" customHeight="false" outlineLevel="0" collapsed="false">
      <c r="A20" s="98" t="s">
        <v>192</v>
      </c>
      <c r="B20" s="93" t="n">
        <v>20</v>
      </c>
      <c r="C20" s="93" t="n">
        <v>55</v>
      </c>
      <c r="D20" s="93"/>
      <c r="E20" s="93"/>
      <c r="F20" s="93"/>
      <c r="G20" s="93"/>
    </row>
    <row r="21" customFormat="false" ht="12.8" hidden="false" customHeight="false" outlineLevel="0" collapsed="false">
      <c r="A21" s="98" t="s">
        <v>198</v>
      </c>
      <c r="B21" s="93" t="n">
        <v>30</v>
      </c>
      <c r="C21" s="93" t="n">
        <v>55</v>
      </c>
      <c r="D21" s="93"/>
      <c r="E21" s="93"/>
      <c r="F21" s="93"/>
      <c r="G21" s="93"/>
    </row>
    <row r="22" customFormat="false" ht="12.8" hidden="false" customHeight="false" outlineLevel="0" collapsed="false">
      <c r="A22" s="98" t="s">
        <v>203</v>
      </c>
      <c r="B22" s="93" t="n">
        <v>15</v>
      </c>
      <c r="C22" s="93" t="n">
        <v>55</v>
      </c>
      <c r="D22" s="93"/>
      <c r="E22" s="93"/>
      <c r="F22" s="93"/>
      <c r="G22" s="93"/>
    </row>
    <row r="23" customFormat="false" ht="23.85" hidden="false" customHeight="false" outlineLevel="0" collapsed="false">
      <c r="A23" s="98" t="s">
        <v>207</v>
      </c>
      <c r="B23" s="93" t="n">
        <v>20</v>
      </c>
      <c r="C23" s="93" t="n">
        <v>55</v>
      </c>
      <c r="D23" s="93"/>
      <c r="E23" s="93"/>
      <c r="F23" s="93"/>
      <c r="G23" s="93"/>
    </row>
    <row r="24" customFormat="false" ht="23.85" hidden="false" customHeight="false" outlineLevel="0" collapsed="false">
      <c r="A24" s="98" t="s">
        <v>307</v>
      </c>
      <c r="B24" s="93" t="n">
        <v>25</v>
      </c>
      <c r="C24" s="93" t="n">
        <v>55</v>
      </c>
      <c r="D24" s="93"/>
      <c r="E24" s="93"/>
      <c r="F24" s="93"/>
      <c r="G24" s="93"/>
    </row>
    <row r="25" customFormat="false" ht="12.8" hidden="false" customHeight="false" outlineLevel="0" collapsed="false">
      <c r="A25" s="98" t="s">
        <v>209</v>
      </c>
      <c r="B25" s="93" t="n">
        <v>25</v>
      </c>
      <c r="C25" s="93" t="n">
        <v>55</v>
      </c>
      <c r="D25" s="93"/>
      <c r="E25" s="93"/>
      <c r="F25" s="93"/>
      <c r="G25" s="93"/>
    </row>
    <row r="26" customFormat="false" ht="12.8" hidden="false" customHeight="false" outlineLevel="0" collapsed="false">
      <c r="A26" s="98" t="s">
        <v>210</v>
      </c>
      <c r="B26" s="93" t="n">
        <v>20</v>
      </c>
      <c r="C26" s="93" t="n">
        <v>55</v>
      </c>
      <c r="D26" s="93"/>
      <c r="E26" s="93"/>
      <c r="F26" s="93"/>
      <c r="G26" s="93"/>
    </row>
    <row r="27" customFormat="false" ht="12.8" hidden="false" customHeight="false" outlineLevel="0" collapsed="false">
      <c r="A27" s="98" t="s">
        <v>211</v>
      </c>
      <c r="B27" s="93" t="n">
        <v>20</v>
      </c>
      <c r="C27" s="93" t="n">
        <v>55</v>
      </c>
      <c r="D27" s="93"/>
      <c r="E27" s="93"/>
      <c r="F27" s="93"/>
      <c r="G27" s="93"/>
    </row>
    <row r="28" customFormat="false" ht="12.8" hidden="false" customHeight="false" outlineLevel="0" collapsed="false">
      <c r="A28" s="98" t="s">
        <v>212</v>
      </c>
      <c r="B28" s="93" t="n">
        <v>15</v>
      </c>
      <c r="C28" s="93" t="n">
        <v>55</v>
      </c>
      <c r="D28" s="93"/>
      <c r="E28" s="93"/>
      <c r="F28" s="93"/>
      <c r="G28" s="93"/>
    </row>
    <row r="29" customFormat="false" ht="12.8" hidden="false" customHeight="false" outlineLevel="0" collapsed="false">
      <c r="A29" s="98" t="s">
        <v>213</v>
      </c>
      <c r="B29" s="93" t="n">
        <v>10</v>
      </c>
      <c r="C29" s="93" t="n">
        <v>55</v>
      </c>
      <c r="D29" s="93"/>
      <c r="E29" s="93"/>
      <c r="F29" s="93"/>
      <c r="G29" s="93"/>
    </row>
    <row r="30" customFormat="false" ht="12.8" hidden="false" customHeight="false" outlineLevel="0" collapsed="false">
      <c r="A30" s="98" t="s">
        <v>215</v>
      </c>
      <c r="B30" s="93" t="n">
        <v>5</v>
      </c>
      <c r="C30" s="93" t="n">
        <v>55</v>
      </c>
      <c r="D30" s="93"/>
      <c r="E30" s="93"/>
      <c r="F30" s="93"/>
      <c r="G30" s="93"/>
    </row>
    <row r="31" customFormat="false" ht="12.8" hidden="false" customHeight="false" outlineLevel="0" collapsed="false">
      <c r="A31" s="98" t="s">
        <v>216</v>
      </c>
      <c r="B31" s="93" t="n">
        <v>30</v>
      </c>
      <c r="C31" s="93" t="n">
        <v>55</v>
      </c>
      <c r="D31" s="93"/>
      <c r="E31" s="93"/>
      <c r="F31" s="93"/>
      <c r="G31" s="93"/>
    </row>
    <row r="32" customFormat="false" ht="12.8" hidden="false" customHeight="false" outlineLevel="0" collapsed="false">
      <c r="A32" s="98" t="s">
        <v>217</v>
      </c>
      <c r="B32" s="93" t="n">
        <v>15</v>
      </c>
      <c r="C32" s="93" t="n">
        <v>55</v>
      </c>
      <c r="D32" s="93"/>
      <c r="E32" s="93"/>
      <c r="F32" s="93"/>
      <c r="G32" s="93"/>
    </row>
    <row r="33" customFormat="false" ht="12.8" hidden="false" customHeight="false" outlineLevel="0" collapsed="false">
      <c r="A33" s="98" t="s">
        <v>218</v>
      </c>
      <c r="B33" s="93" t="n">
        <v>15</v>
      </c>
      <c r="C33" s="93" t="n">
        <v>55</v>
      </c>
      <c r="D33" s="93"/>
      <c r="E33" s="93"/>
      <c r="F33" s="93"/>
      <c r="G33" s="93"/>
    </row>
    <row r="34" customFormat="false" ht="12.8" hidden="false" customHeight="false" outlineLevel="0" collapsed="false">
      <c r="A34" s="98" t="s">
        <v>219</v>
      </c>
      <c r="B34" s="93" t="n">
        <v>20</v>
      </c>
      <c r="C34" s="93" t="n">
        <v>55</v>
      </c>
      <c r="D34" s="93"/>
      <c r="E34" s="93"/>
      <c r="F34" s="93"/>
      <c r="G34" s="93"/>
    </row>
    <row r="35" customFormat="false" ht="12.8" hidden="false" customHeight="false" outlineLevel="0" collapsed="false">
      <c r="A35" s="98" t="s">
        <v>220</v>
      </c>
      <c r="B35" s="93" t="n">
        <v>20</v>
      </c>
      <c r="C35" s="93" t="n">
        <v>55</v>
      </c>
      <c r="D35" s="93"/>
      <c r="E35" s="93"/>
      <c r="F35" s="93"/>
      <c r="G35" s="93"/>
    </row>
    <row r="36" customFormat="false" ht="12.8" hidden="false" customHeight="false" outlineLevel="0" collapsed="false">
      <c r="A36" s="98" t="s">
        <v>221</v>
      </c>
      <c r="B36" s="93" t="n">
        <v>5</v>
      </c>
      <c r="C36" s="93" t="n">
        <v>55</v>
      </c>
      <c r="D36" s="93"/>
      <c r="E36" s="93"/>
      <c r="F36" s="93"/>
      <c r="G36" s="93"/>
    </row>
    <row r="37" customFormat="false" ht="12.8" hidden="false" customHeight="false" outlineLevel="0" collapsed="false">
      <c r="A37" s="98" t="s">
        <v>222</v>
      </c>
      <c r="B37" s="93" t="n">
        <v>15</v>
      </c>
      <c r="C37" s="93" t="n">
        <v>55</v>
      </c>
      <c r="D37" s="93"/>
      <c r="E37" s="93"/>
      <c r="F37" s="93"/>
      <c r="G37" s="93"/>
    </row>
    <row r="38" customFormat="false" ht="12.8" hidden="false" customHeight="false" outlineLevel="0" collapsed="false">
      <c r="A38" s="98" t="s">
        <v>223</v>
      </c>
      <c r="B38" s="93" t="n">
        <v>20</v>
      </c>
      <c r="C38" s="93" t="n">
        <v>55</v>
      </c>
      <c r="D38" s="93"/>
      <c r="E38" s="93"/>
      <c r="F38" s="93"/>
      <c r="G38" s="93"/>
    </row>
    <row r="39" customFormat="false" ht="12.8" hidden="false" customHeight="false" outlineLevel="0" collapsed="false">
      <c r="A39" s="98" t="s">
        <v>224</v>
      </c>
      <c r="B39" s="93" t="n">
        <v>25</v>
      </c>
      <c r="C39" s="93" t="n">
        <v>55</v>
      </c>
      <c r="D39" s="93"/>
      <c r="E39" s="93"/>
      <c r="F39" s="93"/>
      <c r="G39" s="93"/>
    </row>
    <row r="40" customFormat="false" ht="12.8" hidden="false" customHeight="false" outlineLevel="0" collapsed="false">
      <c r="A40" s="98" t="s">
        <v>225</v>
      </c>
      <c r="B40" s="93" t="n">
        <v>30</v>
      </c>
      <c r="C40" s="93" t="n">
        <v>55</v>
      </c>
      <c r="D40" s="93"/>
      <c r="E40" s="93"/>
      <c r="F40" s="93"/>
      <c r="G40" s="93"/>
    </row>
    <row r="41" customFormat="false" ht="12.8" hidden="false" customHeight="false" outlineLevel="0" collapsed="false">
      <c r="A41" s="98" t="s">
        <v>226</v>
      </c>
      <c r="B41" s="93" t="n">
        <v>5</v>
      </c>
      <c r="C41" s="93" t="n">
        <v>55</v>
      </c>
      <c r="D41" s="93"/>
      <c r="E41" s="93"/>
      <c r="F41" s="93"/>
      <c r="G41" s="93"/>
    </row>
    <row r="42" customFormat="false" ht="12.8" hidden="false" customHeight="false" outlineLevel="0" collapsed="false">
      <c r="A42" s="98" t="s">
        <v>227</v>
      </c>
      <c r="B42" s="93" t="n">
        <v>30</v>
      </c>
      <c r="C42" s="93" t="n">
        <v>55</v>
      </c>
      <c r="D42" s="93"/>
      <c r="E42" s="93"/>
      <c r="F42" s="93"/>
      <c r="G42" s="93"/>
    </row>
    <row r="43" customFormat="false" ht="12.8" hidden="false" customHeight="false" outlineLevel="0" collapsed="false">
      <c r="A43" s="98" t="s">
        <v>228</v>
      </c>
      <c r="B43" s="93" t="n">
        <v>0</v>
      </c>
      <c r="C43" s="93" t="n">
        <v>55</v>
      </c>
      <c r="D43" s="93"/>
      <c r="E43" s="93"/>
      <c r="F43" s="93"/>
      <c r="G43" s="93"/>
    </row>
    <row r="44" customFormat="false" ht="12.8" hidden="false" customHeight="false" outlineLevel="0" collapsed="false">
      <c r="A44" s="98" t="s">
        <v>229</v>
      </c>
      <c r="B44" s="93" t="n">
        <v>15</v>
      </c>
      <c r="C44" s="93" t="n">
        <v>55</v>
      </c>
      <c r="D44" s="93"/>
      <c r="E44" s="93"/>
      <c r="F44" s="93"/>
      <c r="G44" s="93"/>
    </row>
    <row r="45" customFormat="false" ht="12.8" hidden="false" customHeight="false" outlineLevel="0" collapsed="false">
      <c r="A45" s="98" t="s">
        <v>230</v>
      </c>
      <c r="B45" s="93" t="n">
        <v>0</v>
      </c>
      <c r="C45" s="93" t="n">
        <v>55</v>
      </c>
      <c r="D45" s="93"/>
      <c r="E45" s="93"/>
      <c r="F45" s="93"/>
      <c r="G45" s="93"/>
    </row>
    <row r="46" customFormat="false" ht="12.8" hidden="false" customHeight="false" outlineLevel="0" collapsed="false">
      <c r="A46" s="98" t="s">
        <v>231</v>
      </c>
      <c r="B46" s="93" t="n">
        <v>30</v>
      </c>
      <c r="C46" s="93" t="n">
        <v>55</v>
      </c>
      <c r="D46" s="93"/>
      <c r="E46" s="93"/>
      <c r="F46" s="93"/>
      <c r="G46" s="93"/>
    </row>
    <row r="47" customFormat="false" ht="12.8" hidden="false" customHeight="false" outlineLevel="0" collapsed="false">
      <c r="A47" s="98" t="s">
        <v>232</v>
      </c>
      <c r="B47" s="93" t="n">
        <v>20</v>
      </c>
      <c r="C47" s="93" t="n">
        <v>55</v>
      </c>
      <c r="D47" s="93"/>
      <c r="E47" s="93"/>
      <c r="F47" s="93"/>
      <c r="G47" s="93"/>
    </row>
    <row r="48" customFormat="false" ht="12.8" hidden="false" customHeight="false" outlineLevel="0" collapsed="false">
      <c r="A48" s="98" t="s">
        <v>233</v>
      </c>
      <c r="B48" s="93" t="n">
        <v>10</v>
      </c>
      <c r="C48" s="93" t="n">
        <v>55</v>
      </c>
      <c r="D48" s="93"/>
      <c r="E48" s="93"/>
      <c r="F48" s="93"/>
      <c r="G48" s="93"/>
    </row>
    <row r="49" customFormat="false" ht="23.85" hidden="false" customHeight="false" outlineLevel="0" collapsed="false">
      <c r="A49" s="98" t="s">
        <v>234</v>
      </c>
      <c r="B49" s="93" t="n">
        <v>15</v>
      </c>
      <c r="C49" s="93" t="n">
        <v>55</v>
      </c>
      <c r="D49" s="93"/>
      <c r="E49" s="93"/>
      <c r="F49" s="93"/>
      <c r="G49" s="93"/>
    </row>
    <row r="50" customFormat="false" ht="12.8" hidden="false" customHeight="false" outlineLevel="0" collapsed="false">
      <c r="A50" s="98" t="s">
        <v>235</v>
      </c>
      <c r="B50" s="93" t="n">
        <v>5</v>
      </c>
      <c r="C50" s="93" t="n">
        <v>55</v>
      </c>
      <c r="D50" s="93"/>
      <c r="E50" s="93"/>
      <c r="F50" s="93"/>
      <c r="G50" s="93"/>
    </row>
    <row r="51" customFormat="false" ht="23.85" hidden="false" customHeight="false" outlineLevel="0" collapsed="false">
      <c r="A51" s="98" t="s">
        <v>236</v>
      </c>
      <c r="B51" s="93" t="n">
        <v>15</v>
      </c>
      <c r="C51" s="93" t="n">
        <v>55</v>
      </c>
      <c r="D51" s="93"/>
      <c r="E51" s="93"/>
      <c r="F51" s="93"/>
      <c r="G51" s="93"/>
    </row>
    <row r="52" customFormat="false" ht="12.8" hidden="false" customHeight="false" outlineLevel="0" collapsed="false">
      <c r="A52" s="98" t="s">
        <v>237</v>
      </c>
      <c r="B52" s="93" t="n">
        <v>20</v>
      </c>
      <c r="C52" s="93" t="n">
        <v>55</v>
      </c>
      <c r="D52" s="93"/>
      <c r="E52" s="93"/>
      <c r="F52" s="93"/>
      <c r="G52" s="93"/>
    </row>
    <row r="53" customFormat="false" ht="23.85" hidden="false" customHeight="false" outlineLevel="0" collapsed="false">
      <c r="A53" s="98" t="s">
        <v>238</v>
      </c>
      <c r="B53" s="93" t="n">
        <v>20</v>
      </c>
      <c r="C53" s="93" t="n">
        <v>55</v>
      </c>
      <c r="D53" s="93"/>
      <c r="E53" s="93"/>
      <c r="F53" s="93"/>
      <c r="G53" s="93"/>
    </row>
    <row r="54" customFormat="false" ht="12.8" hidden="false" customHeight="false" outlineLevel="0" collapsed="false">
      <c r="A54" s="98" t="s">
        <v>239</v>
      </c>
      <c r="B54" s="93" t="n">
        <v>20</v>
      </c>
      <c r="C54" s="93" t="n">
        <v>55</v>
      </c>
      <c r="D54" s="93"/>
      <c r="E54" s="93"/>
      <c r="F54" s="93"/>
      <c r="G54" s="93"/>
    </row>
    <row r="55" customFormat="false" ht="12.8" hidden="false" customHeight="false" outlineLevel="0" collapsed="false">
      <c r="A55" s="98" t="s">
        <v>240</v>
      </c>
      <c r="B55" s="93" t="n">
        <v>20</v>
      </c>
      <c r="C55" s="93" t="n">
        <v>55</v>
      </c>
      <c r="D55" s="93"/>
      <c r="E55" s="93"/>
      <c r="F55" s="93"/>
      <c r="G55" s="93"/>
    </row>
    <row r="56" customFormat="false" ht="23.85" hidden="false" customHeight="false" outlineLevel="0" collapsed="false">
      <c r="A56" s="98" t="s">
        <v>241</v>
      </c>
      <c r="B56" s="93" t="n">
        <v>15</v>
      </c>
      <c r="C56" s="93" t="n">
        <v>55</v>
      </c>
      <c r="D56" s="93"/>
      <c r="E56" s="93"/>
      <c r="F56" s="93"/>
      <c r="G56" s="93"/>
    </row>
    <row r="57" customFormat="false" ht="12.8" hidden="false" customHeight="false" outlineLevel="0" collapsed="false">
      <c r="A57" s="98" t="s">
        <v>242</v>
      </c>
      <c r="B57" s="93" t="n">
        <v>30</v>
      </c>
      <c r="C57" s="93" t="n">
        <v>55</v>
      </c>
      <c r="D57" s="93"/>
      <c r="E57" s="93"/>
      <c r="F57" s="93"/>
      <c r="G57" s="93"/>
    </row>
    <row r="58" customFormat="false" ht="12.8" hidden="false" customHeight="false" outlineLevel="0" collapsed="false">
      <c r="A58" s="98" t="s">
        <v>243</v>
      </c>
      <c r="B58" s="93" t="n">
        <v>20</v>
      </c>
      <c r="C58" s="93" t="n">
        <v>55</v>
      </c>
      <c r="D58" s="93"/>
      <c r="E58" s="93"/>
      <c r="F58" s="93"/>
      <c r="G58" s="93"/>
    </row>
    <row r="59" customFormat="false" ht="35.05" hidden="false" customHeight="false" outlineLevel="0" collapsed="false">
      <c r="A59" s="98" t="s">
        <v>244</v>
      </c>
      <c r="B59" s="93" t="n">
        <v>10</v>
      </c>
      <c r="C59" s="93" t="n">
        <v>55</v>
      </c>
      <c r="D59" s="93"/>
      <c r="E59" s="93"/>
      <c r="F59" s="93"/>
      <c r="G59" s="93"/>
    </row>
    <row r="60" customFormat="false" ht="12.8" hidden="false" customHeight="false" outlineLevel="0" collapsed="false">
      <c r="A60" s="98" t="s">
        <v>245</v>
      </c>
      <c r="B60" s="93" t="n">
        <v>15</v>
      </c>
      <c r="C60" s="93" t="n">
        <v>55</v>
      </c>
      <c r="D60" s="93"/>
      <c r="E60" s="93"/>
      <c r="F60" s="93"/>
      <c r="G60" s="93"/>
    </row>
    <row r="61" customFormat="false" ht="46.25" hidden="false" customHeight="false" outlineLevel="0" collapsed="false">
      <c r="A61" s="98" t="s">
        <v>246</v>
      </c>
      <c r="B61" s="93" t="n">
        <v>20</v>
      </c>
      <c r="C61" s="93" t="n">
        <v>55</v>
      </c>
      <c r="D61" s="93"/>
      <c r="E61" s="93"/>
      <c r="F61" s="93"/>
      <c r="G61" s="93"/>
    </row>
    <row r="62" customFormat="false" ht="68.65" hidden="false" customHeight="false" outlineLevel="0" collapsed="false">
      <c r="A62" s="98" t="s">
        <v>247</v>
      </c>
      <c r="B62" s="93" t="n">
        <v>15</v>
      </c>
      <c r="C62" s="93" t="n">
        <v>55</v>
      </c>
      <c r="D62" s="93"/>
      <c r="E62" s="93"/>
      <c r="F62" s="93"/>
      <c r="G62" s="93"/>
    </row>
    <row r="63" customFormat="false" ht="12.8" hidden="false" customHeight="false" outlineLevel="0" collapsed="false">
      <c r="A63" s="98" t="s">
        <v>248</v>
      </c>
      <c r="B63" s="93" t="n">
        <v>0</v>
      </c>
      <c r="C63" s="93" t="n">
        <v>55</v>
      </c>
      <c r="D63" s="93"/>
      <c r="E63" s="93"/>
      <c r="F63" s="93"/>
      <c r="G63" s="93"/>
    </row>
    <row r="64" customFormat="false" ht="23.85" hidden="false" customHeight="false" outlineLevel="0" collapsed="false">
      <c r="A64" s="98" t="s">
        <v>249</v>
      </c>
      <c r="B64" s="93" t="n">
        <v>5</v>
      </c>
      <c r="C64" s="93" t="n">
        <v>55</v>
      </c>
      <c r="D64" s="93"/>
      <c r="E64" s="93"/>
      <c r="F64" s="93"/>
      <c r="G64" s="93"/>
    </row>
    <row r="65" customFormat="false" ht="12.8" hidden="false" customHeight="false" outlineLevel="0" collapsed="false">
      <c r="A65" s="98" t="s">
        <v>250</v>
      </c>
      <c r="B65" s="93" t="n">
        <v>10</v>
      </c>
      <c r="C65" s="93" t="n">
        <v>55</v>
      </c>
      <c r="D65" s="93"/>
      <c r="E65" s="93"/>
      <c r="F65" s="93"/>
      <c r="G65" s="93"/>
    </row>
    <row r="66" customFormat="false" ht="23.85" hidden="false" customHeight="false" outlineLevel="0" collapsed="false">
      <c r="A66" s="98" t="s">
        <v>251</v>
      </c>
      <c r="B66" s="93" t="n">
        <v>15</v>
      </c>
      <c r="C66" s="93" t="n">
        <v>55</v>
      </c>
      <c r="D66" s="93"/>
      <c r="E66" s="93"/>
      <c r="F66" s="93"/>
      <c r="G66" s="93"/>
    </row>
    <row r="67" customFormat="false" ht="35.05" hidden="false" customHeight="false" outlineLevel="0" collapsed="false">
      <c r="A67" s="98" t="s">
        <v>252</v>
      </c>
      <c r="B67" s="93" t="n">
        <v>10</v>
      </c>
      <c r="C67" s="93" t="n">
        <v>55</v>
      </c>
      <c r="D67" s="93"/>
      <c r="E67" s="93"/>
      <c r="F67" s="93"/>
      <c r="G67" s="93"/>
    </row>
    <row r="68" customFormat="false" ht="23.85" hidden="false" customHeight="false" outlineLevel="0" collapsed="false">
      <c r="A68" s="98" t="s">
        <v>253</v>
      </c>
      <c r="B68" s="93" t="n">
        <v>30</v>
      </c>
      <c r="C68" s="93" t="n">
        <v>55</v>
      </c>
      <c r="D68" s="93"/>
      <c r="E68" s="93"/>
      <c r="F68" s="93"/>
      <c r="G68" s="93"/>
    </row>
    <row r="69" customFormat="false" ht="35.05" hidden="false" customHeight="false" outlineLevel="0" collapsed="false">
      <c r="A69" s="98" t="s">
        <v>254</v>
      </c>
      <c r="B69" s="93" t="n">
        <v>10</v>
      </c>
      <c r="C69" s="93" t="n">
        <v>55</v>
      </c>
      <c r="D69" s="93"/>
      <c r="E69" s="93"/>
      <c r="F69" s="93"/>
      <c r="G69" s="93"/>
    </row>
    <row r="70" customFormat="false" ht="23.85" hidden="false" customHeight="false" outlineLevel="0" collapsed="false">
      <c r="A70" s="98" t="s">
        <v>255</v>
      </c>
      <c r="B70" s="93" t="n">
        <v>0</v>
      </c>
      <c r="C70" s="93" t="n">
        <v>55</v>
      </c>
      <c r="D70" s="93"/>
      <c r="E70" s="93"/>
      <c r="F70" s="93"/>
      <c r="G70" s="93"/>
    </row>
    <row r="71" customFormat="false" ht="35.05" hidden="false" customHeight="false" outlineLevel="0" collapsed="false">
      <c r="A71" s="98" t="s">
        <v>256</v>
      </c>
      <c r="B71" s="93" t="n">
        <v>5</v>
      </c>
      <c r="C71" s="93" t="n">
        <v>55</v>
      </c>
      <c r="D71" s="93"/>
      <c r="E71" s="93"/>
      <c r="F71" s="93"/>
      <c r="G71" s="93"/>
    </row>
    <row r="72" customFormat="false" ht="23.85" hidden="false" customHeight="false" outlineLevel="0" collapsed="false">
      <c r="A72" s="98" t="s">
        <v>257</v>
      </c>
      <c r="B72" s="93" t="n">
        <v>25</v>
      </c>
      <c r="C72" s="93" t="n">
        <v>55</v>
      </c>
      <c r="D72" s="93"/>
      <c r="E72" s="93"/>
      <c r="F72" s="93"/>
      <c r="G72" s="93"/>
    </row>
    <row r="73" customFormat="false" ht="23.85" hidden="false" customHeight="false" outlineLevel="0" collapsed="false">
      <c r="A73" s="98" t="s">
        <v>258</v>
      </c>
      <c r="B73" s="93" t="n">
        <v>30</v>
      </c>
      <c r="C73" s="93" t="n">
        <v>55</v>
      </c>
      <c r="D73" s="93"/>
      <c r="E73" s="93"/>
      <c r="F73" s="93"/>
      <c r="G73" s="93"/>
    </row>
    <row r="74" customFormat="false" ht="23.85" hidden="false" customHeight="false" outlineLevel="0" collapsed="false">
      <c r="A74" s="98" t="s">
        <v>259</v>
      </c>
      <c r="B74" s="93" t="n">
        <v>10</v>
      </c>
      <c r="C74" s="93" t="n">
        <v>55</v>
      </c>
      <c r="D74" s="93"/>
      <c r="E74" s="93"/>
      <c r="F74" s="93"/>
      <c r="G74" s="93"/>
    </row>
    <row r="75" customFormat="false" ht="12.8" hidden="false" customHeight="false" outlineLevel="0" collapsed="false">
      <c r="A75" s="98" t="s">
        <v>260</v>
      </c>
      <c r="B75" s="93" t="n">
        <v>20</v>
      </c>
      <c r="C75" s="93" t="n">
        <v>55</v>
      </c>
      <c r="D75" s="93"/>
      <c r="E75" s="93"/>
      <c r="F75" s="93"/>
      <c r="G75" s="93"/>
    </row>
    <row r="76" customFormat="false" ht="12.8" hidden="false" customHeight="false" outlineLevel="0" collapsed="false">
      <c r="A76" s="98" t="s">
        <v>261</v>
      </c>
      <c r="B76" s="93" t="n">
        <v>30</v>
      </c>
      <c r="C76" s="93" t="n">
        <v>55</v>
      </c>
      <c r="D76" s="93"/>
      <c r="E76" s="93"/>
      <c r="F76" s="93"/>
      <c r="G76" s="93"/>
    </row>
    <row r="77" customFormat="false" ht="12.8" hidden="false" customHeight="false" outlineLevel="0" collapsed="false">
      <c r="A77" s="98" t="s">
        <v>262</v>
      </c>
      <c r="B77" s="93" t="n">
        <v>30</v>
      </c>
      <c r="C77" s="93" t="n">
        <v>55</v>
      </c>
      <c r="D77" s="93"/>
      <c r="E77" s="93"/>
      <c r="F77" s="93"/>
      <c r="G77" s="93"/>
    </row>
    <row r="78" customFormat="false" ht="12.8" hidden="false" customHeight="false" outlineLevel="0" collapsed="false">
      <c r="A78" s="98" t="s">
        <v>263</v>
      </c>
      <c r="B78" s="93" t="n">
        <v>30</v>
      </c>
      <c r="C78" s="93" t="n">
        <v>55</v>
      </c>
      <c r="D78" s="93"/>
      <c r="E78" s="93"/>
      <c r="F78" s="93"/>
      <c r="G78" s="93"/>
    </row>
    <row r="79" customFormat="false" ht="35.05" hidden="false" customHeight="false" outlineLevel="0" collapsed="false">
      <c r="A79" s="98" t="s">
        <v>264</v>
      </c>
      <c r="B79" s="93" t="n">
        <v>30</v>
      </c>
      <c r="C79" s="93" t="n">
        <v>55</v>
      </c>
      <c r="D79" s="93"/>
      <c r="E79" s="93"/>
      <c r="F79" s="93"/>
      <c r="G79" s="93"/>
    </row>
    <row r="80" customFormat="false" ht="12.8" hidden="false" customHeight="false" outlineLevel="0" collapsed="false">
      <c r="A80" s="98" t="s">
        <v>265</v>
      </c>
      <c r="B80" s="93" t="n">
        <v>20</v>
      </c>
      <c r="C80" s="93" t="n">
        <v>55</v>
      </c>
      <c r="D80" s="93"/>
      <c r="E80" s="93"/>
      <c r="F80" s="93"/>
      <c r="G80" s="93"/>
    </row>
    <row r="81" customFormat="false" ht="12.8" hidden="false" customHeight="false" outlineLevel="0" collapsed="false">
      <c r="A81" s="98" t="s">
        <v>266</v>
      </c>
      <c r="B81" s="93" t="n">
        <v>30</v>
      </c>
      <c r="C81" s="93" t="n">
        <v>55</v>
      </c>
      <c r="D81" s="93"/>
      <c r="E81" s="93"/>
      <c r="F81" s="93"/>
      <c r="G81" s="93"/>
    </row>
    <row r="82" customFormat="false" ht="35.05" hidden="false" customHeight="false" outlineLevel="0" collapsed="false">
      <c r="A82" s="98" t="s">
        <v>267</v>
      </c>
      <c r="B82" s="93" t="n">
        <v>10</v>
      </c>
      <c r="C82" s="93" t="n">
        <v>55</v>
      </c>
      <c r="D82" s="93"/>
      <c r="E82" s="93"/>
      <c r="F82" s="93"/>
      <c r="G82" s="93"/>
    </row>
    <row r="83" customFormat="false" ht="12.8" hidden="false" customHeight="false" outlineLevel="0" collapsed="false">
      <c r="A83" s="98" t="s">
        <v>268</v>
      </c>
      <c r="B83" s="93" t="n">
        <v>10</v>
      </c>
      <c r="C83" s="93" t="n">
        <v>55</v>
      </c>
      <c r="D83" s="93"/>
      <c r="E83" s="93"/>
      <c r="F83" s="93"/>
      <c r="G83" s="93"/>
    </row>
    <row r="84" customFormat="false" ht="12.8" hidden="false" customHeight="false" outlineLevel="0" collapsed="false">
      <c r="A84" s="98" t="s">
        <v>269</v>
      </c>
      <c r="B84" s="93" t="n">
        <v>10</v>
      </c>
      <c r="C84" s="93" t="n">
        <v>55</v>
      </c>
      <c r="D84" s="93"/>
      <c r="E84" s="93"/>
      <c r="F84" s="93"/>
      <c r="G84" s="93"/>
    </row>
    <row r="85" customFormat="false" ht="12.8" hidden="false" customHeight="false" outlineLevel="0" collapsed="false">
      <c r="A85" s="98" t="s">
        <v>270</v>
      </c>
      <c r="B85" s="93" t="n">
        <v>30</v>
      </c>
      <c r="C85" s="93" t="n">
        <v>55</v>
      </c>
      <c r="D85" s="93"/>
      <c r="E85" s="93"/>
      <c r="F85" s="93"/>
      <c r="G85" s="93"/>
    </row>
    <row r="86" customFormat="false" ht="12.8" hidden="false" customHeight="false" outlineLevel="0" collapsed="false">
      <c r="A86" s="98" t="s">
        <v>271</v>
      </c>
      <c r="B86" s="93" t="n">
        <v>10</v>
      </c>
      <c r="C86" s="93" t="n">
        <v>55</v>
      </c>
      <c r="D86" s="93"/>
      <c r="E86" s="93"/>
      <c r="F86" s="93"/>
      <c r="G86" s="93"/>
    </row>
    <row r="87" customFormat="false" ht="12.8" hidden="false" customHeight="false" outlineLevel="0" collapsed="false">
      <c r="A87" s="98" t="s">
        <v>272</v>
      </c>
      <c r="B87" s="93" t="n">
        <v>20</v>
      </c>
      <c r="C87" s="93" t="n">
        <v>55</v>
      </c>
      <c r="D87" s="93"/>
      <c r="E87" s="93"/>
      <c r="F87" s="93"/>
      <c r="G87" s="93"/>
    </row>
    <row r="88" customFormat="false" ht="12.8" hidden="false" customHeight="false" outlineLevel="0" collapsed="false">
      <c r="A88" s="98" t="s">
        <v>273</v>
      </c>
      <c r="B88" s="93" t="n">
        <v>10</v>
      </c>
      <c r="C88" s="93" t="n">
        <v>55</v>
      </c>
      <c r="D88" s="93"/>
      <c r="E88" s="93"/>
      <c r="F88" s="93"/>
      <c r="G88" s="93"/>
    </row>
    <row r="89" customFormat="false" ht="12.8" hidden="false" customHeight="false" outlineLevel="0" collapsed="false">
      <c r="A89" s="98" t="s">
        <v>274</v>
      </c>
      <c r="B89" s="93" t="n">
        <v>10</v>
      </c>
      <c r="C89" s="93" t="n">
        <v>55</v>
      </c>
      <c r="D89" s="93"/>
      <c r="E89" s="93"/>
      <c r="F89" s="93"/>
      <c r="G89" s="93"/>
    </row>
    <row r="90" customFormat="false" ht="23.85" hidden="false" customHeight="false" outlineLevel="0" collapsed="false">
      <c r="A90" s="98" t="s">
        <v>275</v>
      </c>
      <c r="B90" s="93" t="n">
        <v>10</v>
      </c>
      <c r="C90" s="93" t="n">
        <v>55</v>
      </c>
      <c r="D90" s="93"/>
      <c r="E90" s="93"/>
      <c r="F90" s="93"/>
      <c r="G90" s="93"/>
    </row>
    <row r="91" customFormat="false" ht="12.8" hidden="false" customHeight="false" outlineLevel="0" collapsed="false">
      <c r="A91" s="98" t="s">
        <v>276</v>
      </c>
      <c r="B91" s="93" t="n">
        <v>30</v>
      </c>
      <c r="C91" s="93" t="n">
        <v>55</v>
      </c>
      <c r="D91" s="93"/>
      <c r="E91" s="93"/>
      <c r="F91" s="93"/>
      <c r="G91" s="93"/>
    </row>
    <row r="92" customFormat="false" ht="12.8" hidden="false" customHeight="false" outlineLevel="0" collapsed="false">
      <c r="A92" s="98" t="s">
        <v>277</v>
      </c>
      <c r="B92" s="93" t="n">
        <v>30</v>
      </c>
      <c r="C92" s="93" t="n">
        <v>55</v>
      </c>
      <c r="D92" s="93"/>
      <c r="E92" s="93"/>
      <c r="F92" s="93"/>
      <c r="G92" s="93"/>
    </row>
    <row r="93" customFormat="false" ht="12.8" hidden="false" customHeight="false" outlineLevel="0" collapsed="false">
      <c r="A93" s="98" t="s">
        <v>278</v>
      </c>
      <c r="B93" s="93" t="n">
        <v>10</v>
      </c>
      <c r="C93" s="93" t="n">
        <v>55</v>
      </c>
      <c r="D93" s="93"/>
      <c r="E93" s="93"/>
      <c r="F93" s="93"/>
      <c r="G93" s="93"/>
    </row>
    <row r="94" customFormat="false" ht="12.8" hidden="false" customHeight="false" outlineLevel="0" collapsed="false">
      <c r="A94" s="98" t="s">
        <v>279</v>
      </c>
      <c r="B94" s="93" t="n">
        <v>30</v>
      </c>
      <c r="C94" s="93" t="n">
        <v>55</v>
      </c>
      <c r="D94" s="93"/>
      <c r="E94" s="93"/>
      <c r="F94" s="93"/>
      <c r="G94" s="93"/>
    </row>
    <row r="95" customFormat="false" ht="12.8" hidden="false" customHeight="false" outlineLevel="0" collapsed="false">
      <c r="A95" s="98" t="s">
        <v>280</v>
      </c>
      <c r="B95" s="93" t="n">
        <v>20</v>
      </c>
      <c r="C95" s="93" t="n">
        <v>55</v>
      </c>
      <c r="D95" s="93"/>
      <c r="E95" s="93"/>
      <c r="F95" s="93"/>
      <c r="G95" s="93"/>
    </row>
    <row r="96" customFormat="false" ht="12.8" hidden="false" customHeight="false" outlineLevel="0" collapsed="false">
      <c r="A96" s="98" t="s">
        <v>281</v>
      </c>
      <c r="B96" s="93" t="n">
        <v>30</v>
      </c>
      <c r="C96" s="93" t="n">
        <v>55</v>
      </c>
      <c r="D96" s="93"/>
      <c r="E96" s="93"/>
      <c r="F96" s="93"/>
      <c r="G96" s="93"/>
    </row>
    <row r="97" customFormat="false" ht="12.8" hidden="false" customHeight="false" outlineLevel="0" collapsed="false">
      <c r="A97" s="98" t="s">
        <v>282</v>
      </c>
      <c r="B97" s="93" t="n">
        <v>25</v>
      </c>
      <c r="C97" s="93" t="n">
        <v>55</v>
      </c>
      <c r="D97" s="93"/>
      <c r="E97" s="93"/>
      <c r="F97" s="93"/>
      <c r="G97" s="93"/>
    </row>
    <row r="98" customFormat="false" ht="12.8" hidden="false" customHeight="false" outlineLevel="0" collapsed="false">
      <c r="A98" s="98" t="s">
        <v>283</v>
      </c>
      <c r="B98" s="93" t="n">
        <v>20</v>
      </c>
      <c r="C98" s="93" t="n">
        <v>55</v>
      </c>
      <c r="D98" s="93"/>
      <c r="E98" s="93"/>
      <c r="F98" s="93"/>
      <c r="G98" s="93"/>
    </row>
    <row r="99" customFormat="false" ht="12.8" hidden="false" customHeight="false" outlineLevel="0" collapsed="false">
      <c r="A99" s="98" t="s">
        <v>284</v>
      </c>
      <c r="B99" s="93" t="n">
        <v>20</v>
      </c>
      <c r="C99" s="93" t="n">
        <v>55</v>
      </c>
      <c r="D99" s="93"/>
      <c r="E99" s="93"/>
      <c r="F99" s="93"/>
      <c r="G99" s="93"/>
    </row>
    <row r="100" customFormat="false" ht="12.8" hidden="false" customHeight="false" outlineLevel="0" collapsed="false">
      <c r="A100" s="98" t="s">
        <v>285</v>
      </c>
      <c r="B100" s="93" t="n">
        <v>15</v>
      </c>
      <c r="C100" s="93" t="n">
        <v>55</v>
      </c>
      <c r="D100" s="93"/>
      <c r="E100" s="93"/>
      <c r="F100" s="93"/>
      <c r="G100" s="93"/>
    </row>
    <row r="101" customFormat="false" ht="12.8" hidden="false" customHeight="false" outlineLevel="0" collapsed="false">
      <c r="A101" s="98" t="s">
        <v>286</v>
      </c>
      <c r="B101" s="93" t="n">
        <v>20</v>
      </c>
      <c r="C101" s="93" t="n">
        <v>55</v>
      </c>
      <c r="D101" s="93"/>
      <c r="E101" s="93"/>
      <c r="F101" s="93"/>
      <c r="G101" s="93"/>
    </row>
    <row r="102" customFormat="false" ht="35.05" hidden="false" customHeight="false" outlineLevel="0" collapsed="false">
      <c r="A102" s="98" t="s">
        <v>287</v>
      </c>
      <c r="B102" s="93" t="n">
        <v>5</v>
      </c>
      <c r="C102" s="93" t="n">
        <v>55</v>
      </c>
      <c r="D102" s="93"/>
      <c r="E102" s="93"/>
      <c r="F102" s="93"/>
      <c r="G102" s="93"/>
    </row>
    <row r="103" customFormat="false" ht="12.8" hidden="false" customHeight="false" outlineLevel="0" collapsed="false">
      <c r="A103" s="98" t="s">
        <v>288</v>
      </c>
      <c r="B103" s="93" t="n">
        <v>10</v>
      </c>
      <c r="C103" s="93" t="n">
        <v>55</v>
      </c>
      <c r="D103" s="93"/>
      <c r="E103" s="93"/>
      <c r="F103" s="93"/>
      <c r="G103" s="93"/>
    </row>
    <row r="104" customFormat="false" ht="12.8" hidden="false" customHeight="false" outlineLevel="0" collapsed="false">
      <c r="A104" s="98" t="s">
        <v>289</v>
      </c>
      <c r="B104" s="93" t="n">
        <v>25</v>
      </c>
      <c r="C104" s="93" t="n">
        <v>55</v>
      </c>
      <c r="D104" s="93"/>
      <c r="E104" s="93"/>
      <c r="F104" s="93"/>
      <c r="G104" s="93"/>
    </row>
  </sheetData>
  <autoFilter ref="A3:F104"/>
  <dataValidations count="2">
    <dataValidation allowBlank="true" errorStyle="stop" operator="equal" showDropDown="false" showErrorMessage="true" showInputMessage="false" sqref="K6" type="list">
      <formula1>Справочно!$L$2:$L$14</formula1>
      <formula2>0</formula2>
    </dataValidation>
    <dataValidation allowBlank="true" errorStyle="stop" operator="equal" showDropDown="false" showErrorMessage="true" showInputMessage="false" sqref="K9" type="list">
      <formula1>Справочно!$J$2:$J$3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3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M39" activeCellId="0" sqref="M39"/>
    </sheetView>
  </sheetViews>
  <sheetFormatPr defaultColWidth="11.53515625" defaultRowHeight="12.8" zeroHeight="false" outlineLevelRow="0" outlineLevelCol="0"/>
  <cols>
    <col collapsed="false" customWidth="false" hidden="false" outlineLevel="0" max="13" min="13" style="20" width="11.53"/>
  </cols>
  <sheetData>
    <row r="2" customFormat="false" ht="12.8" hidden="false" customHeight="false" outlineLevel="0" collapsed="false">
      <c r="A2" s="1" t="s">
        <v>308</v>
      </c>
      <c r="E2" s="1" t="s">
        <v>309</v>
      </c>
      <c r="J2" s="1" t="s">
        <v>310</v>
      </c>
      <c r="L2" s="1" t="s">
        <v>311</v>
      </c>
    </row>
    <row r="3" customFormat="false" ht="12.8" hidden="false" customHeight="false" outlineLevel="0" collapsed="false">
      <c r="A3" s="1" t="s">
        <v>312</v>
      </c>
      <c r="B3" s="1" t="n">
        <v>38</v>
      </c>
      <c r="C3" s="1" t="n">
        <v>45</v>
      </c>
      <c r="D3" s="1" t="n">
        <v>41</v>
      </c>
      <c r="E3" s="1" t="n">
        <v>65</v>
      </c>
      <c r="F3" s="1" t="n">
        <v>45</v>
      </c>
      <c r="G3" s="1" t="n">
        <v>45</v>
      </c>
      <c r="H3" s="1" t="n">
        <v>55</v>
      </c>
      <c r="I3" s="1" t="n">
        <v>50</v>
      </c>
      <c r="J3" s="1" t="n">
        <v>60</v>
      </c>
      <c r="K3" s="1" t="n">
        <v>50</v>
      </c>
      <c r="L3" s="1" t="n">
        <v>50</v>
      </c>
      <c r="M3" s="20" t="n">
        <f aca="false">AVERAGE(B3:L3)</f>
        <v>49.4545454545455</v>
      </c>
    </row>
    <row r="4" customFormat="false" ht="12.8" hidden="false" customHeight="false" outlineLevel="0" collapsed="false">
      <c r="A4" s="1" t="s">
        <v>313</v>
      </c>
      <c r="B4" s="1" t="n">
        <v>41</v>
      </c>
      <c r="E4" s="1" t="n">
        <v>65</v>
      </c>
      <c r="F4" s="1" t="n">
        <v>45</v>
      </c>
      <c r="G4" s="1" t="n">
        <v>45</v>
      </c>
      <c r="H4" s="1" t="n">
        <v>55</v>
      </c>
      <c r="I4" s="1" t="n">
        <v>50</v>
      </c>
      <c r="J4" s="1" t="n">
        <v>50</v>
      </c>
      <c r="L4" s="1" t="n">
        <v>50</v>
      </c>
      <c r="M4" s="20" t="n">
        <f aca="false">AVERAGE(B4:L4)</f>
        <v>50.125</v>
      </c>
    </row>
    <row r="6" customFormat="false" ht="12.8" hidden="false" customHeight="false" outlineLevel="0" collapsed="false">
      <c r="A6" s="1" t="s">
        <v>170</v>
      </c>
    </row>
    <row r="7" customFormat="false" ht="12.8" hidden="false" customHeight="false" outlineLevel="0" collapsed="false">
      <c r="A7" s="1" t="s">
        <v>312</v>
      </c>
      <c r="B7" s="1" t="n">
        <v>15</v>
      </c>
      <c r="C7" s="1" t="n">
        <v>15</v>
      </c>
      <c r="D7" s="1" t="n">
        <v>8</v>
      </c>
      <c r="E7" s="1" t="n">
        <v>8</v>
      </c>
      <c r="F7" s="1" t="n">
        <v>15</v>
      </c>
      <c r="G7" s="1" t="n">
        <v>15</v>
      </c>
      <c r="H7" s="1" t="n">
        <v>12</v>
      </c>
      <c r="I7" s="1" t="n">
        <v>8</v>
      </c>
      <c r="J7" s="1" t="n">
        <v>8</v>
      </c>
      <c r="K7" s="1" t="n">
        <v>8</v>
      </c>
      <c r="M7" s="20" t="n">
        <f aca="false">AVERAGE(B7:L7)</f>
        <v>11.2</v>
      </c>
    </row>
    <row r="8" customFormat="false" ht="12.8" hidden="false" customHeight="false" outlineLevel="0" collapsed="false">
      <c r="A8" s="1" t="s">
        <v>313</v>
      </c>
      <c r="B8" s="1" t="n">
        <v>15</v>
      </c>
      <c r="C8" s="1" t="n">
        <v>15</v>
      </c>
      <c r="D8" s="1" t="n">
        <v>8</v>
      </c>
      <c r="E8" s="1" t="n">
        <v>8</v>
      </c>
      <c r="F8" s="1" t="n">
        <v>15</v>
      </c>
      <c r="G8" s="1" t="n">
        <v>15</v>
      </c>
      <c r="H8" s="1" t="n">
        <v>12</v>
      </c>
      <c r="I8" s="1" t="n">
        <v>8</v>
      </c>
      <c r="J8" s="1" t="n">
        <v>8</v>
      </c>
      <c r="K8" s="1" t="n">
        <v>8</v>
      </c>
      <c r="M8" s="20" t="n">
        <f aca="false">AVERAGE(B8:L8)</f>
        <v>11.2</v>
      </c>
    </row>
    <row r="10" customFormat="false" ht="12.8" hidden="false" customHeight="false" outlineLevel="0" collapsed="false">
      <c r="E10" s="1" t="s">
        <v>172</v>
      </c>
      <c r="H10" s="1" t="s">
        <v>195</v>
      </c>
    </row>
    <row r="11" customFormat="false" ht="12.8" hidden="false" customHeight="false" outlineLevel="0" collapsed="false">
      <c r="A11" s="1" t="s">
        <v>314</v>
      </c>
      <c r="B11" s="1" t="n">
        <v>8</v>
      </c>
      <c r="C11" s="1" t="n">
        <v>19</v>
      </c>
      <c r="D11" s="1" t="n">
        <v>8</v>
      </c>
      <c r="E11" s="1" t="n">
        <v>45</v>
      </c>
      <c r="F11" s="1" t="n">
        <v>8</v>
      </c>
      <c r="G11" s="1" t="n">
        <v>8</v>
      </c>
      <c r="H11" s="1" t="n">
        <v>55</v>
      </c>
      <c r="I11" s="1" t="n">
        <v>15</v>
      </c>
      <c r="J11" s="1" t="n">
        <v>12</v>
      </c>
      <c r="M11" s="20" t="n">
        <f aca="false">AVERAGE(B11:J11)</f>
        <v>19.7777777777778</v>
      </c>
    </row>
    <row r="12" customFormat="false" ht="12.8" hidden="false" customHeight="false" outlineLevel="0" collapsed="false">
      <c r="B12" s="1" t="n">
        <v>8</v>
      </c>
      <c r="C12" s="1" t="n">
        <v>19</v>
      </c>
      <c r="D12" s="1" t="n">
        <v>8</v>
      </c>
      <c r="E12" s="1" t="n">
        <v>45</v>
      </c>
      <c r="F12" s="1" t="n">
        <v>8</v>
      </c>
      <c r="G12" s="1" t="n">
        <v>8</v>
      </c>
      <c r="H12" s="1" t="n">
        <v>55</v>
      </c>
      <c r="I12" s="1" t="n">
        <v>15</v>
      </c>
      <c r="J12" s="1" t="n">
        <v>12</v>
      </c>
      <c r="M12" s="20" t="n">
        <f aca="false">AVERAGE(B12:L12)</f>
        <v>19.7777777777778</v>
      </c>
    </row>
    <row r="14" customFormat="false" ht="12.8" hidden="false" customHeight="false" outlineLevel="0" collapsed="false">
      <c r="A14" s="1" t="s">
        <v>315</v>
      </c>
      <c r="B14" s="1" t="s">
        <v>316</v>
      </c>
      <c r="C14" s="1" t="s">
        <v>317</v>
      </c>
      <c r="D14" s="1" t="s">
        <v>318</v>
      </c>
      <c r="E14" s="1" t="s">
        <v>172</v>
      </c>
      <c r="F14" s="1" t="s">
        <v>319</v>
      </c>
      <c r="G14" s="1" t="s">
        <v>320</v>
      </c>
      <c r="H14" s="1" t="s">
        <v>321</v>
      </c>
    </row>
    <row r="15" customFormat="false" ht="12.8" hidden="false" customHeight="false" outlineLevel="0" collapsed="false">
      <c r="B15" s="1" t="n">
        <v>11</v>
      </c>
      <c r="C15" s="1" t="n">
        <v>8</v>
      </c>
      <c r="D15" s="1" t="n">
        <v>12</v>
      </c>
      <c r="E15" s="1" t="n">
        <v>45</v>
      </c>
      <c r="F15" s="1" t="n">
        <v>4</v>
      </c>
      <c r="G15" s="1" t="n">
        <v>8</v>
      </c>
      <c r="H15" s="1" t="n">
        <v>10</v>
      </c>
      <c r="M15" s="20" t="n">
        <f aca="false">AVERAGE(B15:L15)</f>
        <v>14</v>
      </c>
    </row>
    <row r="16" customFormat="false" ht="12.8" hidden="false" customHeight="false" outlineLevel="0" collapsed="false">
      <c r="B16" s="1" t="n">
        <v>11</v>
      </c>
      <c r="C16" s="1" t="n">
        <v>8</v>
      </c>
      <c r="D16" s="1" t="n">
        <v>12</v>
      </c>
      <c r="F16" s="1" t="n">
        <v>4</v>
      </c>
      <c r="G16" s="1" t="n">
        <v>8</v>
      </c>
      <c r="H16" s="1" t="n">
        <v>10</v>
      </c>
      <c r="M16" s="20" t="n">
        <f aca="false">AVERAGE(B16:H16)</f>
        <v>8.83333333333333</v>
      </c>
    </row>
    <row r="18" customFormat="false" ht="12.8" hidden="false" customHeight="false" outlineLevel="0" collapsed="false">
      <c r="A18" s="1" t="s">
        <v>322</v>
      </c>
      <c r="B18" s="1" t="s">
        <v>323</v>
      </c>
      <c r="C18" s="1" t="s">
        <v>324</v>
      </c>
      <c r="D18" s="1" t="s">
        <v>325</v>
      </c>
      <c r="E18" s="1" t="s">
        <v>326</v>
      </c>
      <c r="F18" s="1" t="s">
        <v>327</v>
      </c>
      <c r="G18" s="1" t="s">
        <v>172</v>
      </c>
    </row>
    <row r="19" customFormat="false" ht="12.8" hidden="false" customHeight="false" outlineLevel="0" collapsed="false">
      <c r="B19" s="1" t="n">
        <v>15</v>
      </c>
      <c r="C19" s="1" t="n">
        <v>45</v>
      </c>
      <c r="D19" s="1" t="n">
        <v>15</v>
      </c>
      <c r="E19" s="1" t="n">
        <v>25</v>
      </c>
      <c r="F19" s="1" t="n">
        <v>15</v>
      </c>
      <c r="G19" s="1" t="n">
        <v>45</v>
      </c>
      <c r="M19" s="20" t="n">
        <f aca="false">AVERAGE(B19:L19)</f>
        <v>26.6666666666667</v>
      </c>
    </row>
    <row r="22" customFormat="false" ht="12.8" hidden="false" customHeight="false" outlineLevel="0" collapsed="false">
      <c r="A22" s="1" t="s">
        <v>328</v>
      </c>
      <c r="B22" s="110" t="s">
        <v>329</v>
      </c>
      <c r="C22" s="1" t="s">
        <v>330</v>
      </c>
      <c r="D22" s="1" t="s">
        <v>331</v>
      </c>
      <c r="E22" s="110" t="s">
        <v>326</v>
      </c>
      <c r="F22" s="1" t="s">
        <v>332</v>
      </c>
      <c r="G22" s="1" t="s">
        <v>172</v>
      </c>
      <c r="H22" s="1" t="s">
        <v>333</v>
      </c>
    </row>
    <row r="23" customFormat="false" ht="12.8" hidden="false" customHeight="false" outlineLevel="0" collapsed="false">
      <c r="B23" s="1" t="n">
        <v>10</v>
      </c>
      <c r="C23" s="1" t="n">
        <v>10</v>
      </c>
      <c r="D23" s="1" t="n">
        <v>4</v>
      </c>
      <c r="E23" s="1" t="n">
        <v>8</v>
      </c>
      <c r="F23" s="1" t="n">
        <v>6</v>
      </c>
      <c r="G23" s="1" t="n">
        <v>45</v>
      </c>
      <c r="H23" s="1" t="n">
        <v>10</v>
      </c>
      <c r="M23" s="20" t="n">
        <f aca="false">AVERAGE(B23:L23)</f>
        <v>13.2857142857143</v>
      </c>
    </row>
    <row r="24" customFormat="false" ht="12.8" hidden="false" customHeight="false" outlineLevel="0" collapsed="false">
      <c r="B24" s="1" t="n">
        <v>10</v>
      </c>
      <c r="C24" s="1" t="n">
        <v>10</v>
      </c>
      <c r="D24" s="1" t="n">
        <v>4</v>
      </c>
      <c r="E24" s="1" t="n">
        <v>8</v>
      </c>
      <c r="F24" s="1" t="n">
        <v>6</v>
      </c>
      <c r="H24" s="1" t="n">
        <v>10</v>
      </c>
      <c r="M24" s="20" t="n">
        <f aca="false">AVERAGE(B24:H24)</f>
        <v>8</v>
      </c>
    </row>
    <row r="26" customFormat="false" ht="12.8" hidden="false" customHeight="false" outlineLevel="0" collapsed="false">
      <c r="A26" s="1" t="s">
        <v>334</v>
      </c>
      <c r="B26" s="1" t="s">
        <v>335</v>
      </c>
      <c r="C26" s="1" t="s">
        <v>336</v>
      </c>
      <c r="D26" s="1" t="s">
        <v>337</v>
      </c>
      <c r="E26" s="1" t="s">
        <v>338</v>
      </c>
      <c r="F26" s="1" t="s">
        <v>320</v>
      </c>
      <c r="G26" s="1" t="s">
        <v>319</v>
      </c>
    </row>
    <row r="27" customFormat="false" ht="12.8" hidden="false" customHeight="false" outlineLevel="0" collapsed="false">
      <c r="B27" s="1" t="n">
        <v>15</v>
      </c>
      <c r="C27" s="1" t="n">
        <v>55</v>
      </c>
      <c r="D27" s="1" t="n">
        <v>45</v>
      </c>
      <c r="E27" s="1" t="n">
        <v>26</v>
      </c>
      <c r="F27" s="1" t="n">
        <v>8</v>
      </c>
      <c r="G27" s="1" t="n">
        <v>4</v>
      </c>
      <c r="M27" s="20" t="n">
        <f aca="false">AVERAGE(B27:L27)</f>
        <v>25.5</v>
      </c>
    </row>
    <row r="29" customFormat="false" ht="12.8" hidden="false" customHeight="false" outlineLevel="0" collapsed="false">
      <c r="A29" s="1" t="s">
        <v>339</v>
      </c>
      <c r="B29" s="1" t="s">
        <v>340</v>
      </c>
      <c r="C29" s="1" t="s">
        <v>341</v>
      </c>
      <c r="D29" s="1" t="s">
        <v>342</v>
      </c>
      <c r="E29" s="1" t="s">
        <v>320</v>
      </c>
    </row>
    <row r="30" customFormat="false" ht="12.8" hidden="false" customHeight="false" outlineLevel="0" collapsed="false">
      <c r="B30" s="1" t="n">
        <v>45</v>
      </c>
      <c r="C30" s="1" t="n">
        <v>18</v>
      </c>
      <c r="D30" s="1" t="n">
        <v>23</v>
      </c>
      <c r="E30" s="1" t="n">
        <v>8</v>
      </c>
      <c r="M30" s="20" t="n">
        <f aca="false">AVERAGE(B30:L30)</f>
        <v>23.5</v>
      </c>
    </row>
    <row r="32" customFormat="false" ht="12.8" hidden="false" customHeight="false" outlineLevel="0" collapsed="false">
      <c r="A32" s="1" t="s">
        <v>181</v>
      </c>
      <c r="B32" s="1" t="s">
        <v>340</v>
      </c>
      <c r="C32" s="110" t="s">
        <v>320</v>
      </c>
      <c r="D32" s="1" t="s">
        <v>343</v>
      </c>
      <c r="E32" s="1" t="s">
        <v>344</v>
      </c>
      <c r="F32" s="1" t="s">
        <v>319</v>
      </c>
      <c r="G32" s="1" t="s">
        <v>331</v>
      </c>
    </row>
    <row r="33" customFormat="false" ht="12.8" hidden="false" customHeight="false" outlineLevel="0" collapsed="false">
      <c r="B33" s="1" t="n">
        <v>45</v>
      </c>
      <c r="C33" s="1" t="n">
        <v>8</v>
      </c>
      <c r="D33" s="1" t="n">
        <v>9.76</v>
      </c>
      <c r="E33" s="1" t="n">
        <v>33</v>
      </c>
      <c r="F33" s="1" t="n">
        <v>8</v>
      </c>
      <c r="G33" s="1" t="n">
        <v>8</v>
      </c>
      <c r="M33" s="20" t="n">
        <f aca="false">AVERAGE(B33:L33)</f>
        <v>18.6266666666667</v>
      </c>
    </row>
    <row r="35" customFormat="false" ht="12.8" hidden="false" customHeight="false" outlineLevel="0" collapsed="false">
      <c r="A35" s="1" t="s">
        <v>345</v>
      </c>
      <c r="B35" s="1" t="s">
        <v>346</v>
      </c>
      <c r="C35" s="1" t="s">
        <v>330</v>
      </c>
      <c r="D35" s="1" t="s">
        <v>342</v>
      </c>
      <c r="E35" s="1" t="s">
        <v>320</v>
      </c>
      <c r="F35" s="1" t="s">
        <v>333</v>
      </c>
      <c r="G35" s="1" t="s">
        <v>344</v>
      </c>
    </row>
    <row r="36" customFormat="false" ht="12.8" hidden="false" customHeight="false" outlineLevel="0" collapsed="false">
      <c r="B36" s="1" t="n">
        <v>45</v>
      </c>
      <c r="C36" s="1" t="n">
        <v>0</v>
      </c>
      <c r="D36" s="1" t="n">
        <v>15</v>
      </c>
      <c r="E36" s="1" t="n">
        <v>8</v>
      </c>
      <c r="F36" s="1" t="n">
        <v>18</v>
      </c>
      <c r="G36" s="1" t="n">
        <v>23</v>
      </c>
      <c r="M36" s="20" t="n">
        <f aca="false">AVERAGE(B36:L36)</f>
        <v>18.1666666666667</v>
      </c>
    </row>
    <row r="38" customFormat="false" ht="12.8" hidden="false" customHeight="false" outlineLevel="0" collapsed="false">
      <c r="A38" s="1" t="s">
        <v>347</v>
      </c>
      <c r="B38" s="1" t="s">
        <v>335</v>
      </c>
      <c r="C38" s="1" t="s">
        <v>320</v>
      </c>
      <c r="D38" s="1" t="s">
        <v>337</v>
      </c>
    </row>
    <row r="39" customFormat="false" ht="12.8" hidden="false" customHeight="false" outlineLevel="0" collapsed="false">
      <c r="B39" s="1" t="n">
        <v>4</v>
      </c>
      <c r="C39" s="1" t="n">
        <v>8</v>
      </c>
      <c r="D39" s="1" t="n">
        <v>45</v>
      </c>
      <c r="M39" s="20" t="n">
        <f aca="false">AVERAGE(B39:L39)</f>
        <v>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28" activeCellId="0" sqref="B28"/>
    </sheetView>
  </sheetViews>
  <sheetFormatPr defaultColWidth="11.53515625" defaultRowHeight="12.8" zeroHeight="false" outlineLevelRow="0" outlineLevelCol="0"/>
  <cols>
    <col collapsed="false" customWidth="true" hidden="false" outlineLevel="0" max="5" min="5" style="1" width="12.88"/>
  </cols>
  <sheetData>
    <row r="1" customFormat="false" ht="12.8" hidden="false" customHeight="false" outlineLevel="0" collapsed="false">
      <c r="A1" s="111" t="s">
        <v>348</v>
      </c>
      <c r="B1" s="111" t="s">
        <v>349</v>
      </c>
      <c r="C1" s="112" t="s">
        <v>350</v>
      </c>
      <c r="D1" s="112"/>
      <c r="E1" s="111" t="s">
        <v>349</v>
      </c>
      <c r="F1" s="112" t="s">
        <v>350</v>
      </c>
    </row>
    <row r="2" customFormat="false" ht="12.8" hidden="false" customHeight="false" outlineLevel="0" collapsed="false">
      <c r="A2" s="113" t="n">
        <v>18</v>
      </c>
      <c r="B2" s="114" t="n">
        <v>0.0434</v>
      </c>
      <c r="C2" s="114" t="n">
        <v>0.0238</v>
      </c>
      <c r="D2" s="115" t="s">
        <v>113</v>
      </c>
      <c r="E2" s="116" t="n">
        <f aca="false">AVERAGE(B2:B4)</f>
        <v>0.0508666666666667</v>
      </c>
      <c r="F2" s="114" t="n">
        <f aca="false">AVERAGE(C2:C4)</f>
        <v>0.0252</v>
      </c>
      <c r="G2" s="81" t="n">
        <v>18</v>
      </c>
      <c r="H2" s="81" t="n">
        <v>20</v>
      </c>
    </row>
    <row r="3" customFormat="false" ht="12.8" hidden="false" customHeight="false" outlineLevel="0" collapsed="false">
      <c r="A3" s="113" t="n">
        <v>19</v>
      </c>
      <c r="B3" s="114" t="n">
        <v>0.0504</v>
      </c>
      <c r="C3" s="114" t="n">
        <v>0.0252</v>
      </c>
      <c r="D3" s="115" t="s">
        <v>115</v>
      </c>
      <c r="E3" s="116" t="n">
        <f aca="false">AVERAGE(B5:B9)</f>
        <v>0.07168</v>
      </c>
      <c r="F3" s="116" t="n">
        <f aca="false">AVERAGE(C5:C9)</f>
        <v>0.02912</v>
      </c>
      <c r="G3" s="81" t="n">
        <v>21</v>
      </c>
      <c r="H3" s="81" t="n">
        <v>25</v>
      </c>
    </row>
    <row r="4" customFormat="false" ht="12.8" hidden="false" customHeight="false" outlineLevel="0" collapsed="false">
      <c r="A4" s="113" t="n">
        <v>20</v>
      </c>
      <c r="B4" s="114" t="n">
        <v>0.0588</v>
      </c>
      <c r="C4" s="114" t="n">
        <v>0.0266</v>
      </c>
      <c r="D4" s="114" t="str">
        <f aca="false">G4&amp;"-"&amp;H4</f>
        <v>26-27</v>
      </c>
      <c r="E4" s="116" t="n">
        <f aca="false">AVERAGE(B10:B11)</f>
        <v>0.0777</v>
      </c>
      <c r="F4" s="116" t="n">
        <f aca="false">AVERAGE(C10:C11)</f>
        <v>0.0322</v>
      </c>
      <c r="G4" s="81" t="n">
        <f aca="false">H3+1</f>
        <v>26</v>
      </c>
      <c r="H4" s="81" t="n">
        <v>27</v>
      </c>
    </row>
    <row r="5" customFormat="false" ht="12.8" hidden="false" customHeight="false" outlineLevel="0" collapsed="false">
      <c r="A5" s="113" t="n">
        <v>21</v>
      </c>
      <c r="B5" s="114" t="n">
        <v>0.0658</v>
      </c>
      <c r="C5" s="114" t="n">
        <v>0.028</v>
      </c>
      <c r="D5" s="114" t="str">
        <f aca="false">G5&amp;"-"&amp;H5</f>
        <v>28-29</v>
      </c>
      <c r="E5" s="116" t="n">
        <f aca="false">AVERAGE(B12:B13)</f>
        <v>0.0854</v>
      </c>
      <c r="F5" s="116" t="n">
        <f aca="false">AVERAGE(C12:C13)</f>
        <v>0.0364</v>
      </c>
      <c r="G5" s="81" t="n">
        <f aca="false">H4+1</f>
        <v>28</v>
      </c>
      <c r="H5" s="81" t="n">
        <v>29</v>
      </c>
    </row>
    <row r="6" customFormat="false" ht="12.8" hidden="false" customHeight="false" outlineLevel="0" collapsed="false">
      <c r="A6" s="113" t="n">
        <v>22</v>
      </c>
      <c r="B6" s="114" t="n">
        <v>0.07</v>
      </c>
      <c r="C6" s="114" t="n">
        <v>0.028</v>
      </c>
      <c r="D6" s="114" t="str">
        <f aca="false">G6&amp;"-"&amp;H6</f>
        <v>30-31</v>
      </c>
      <c r="E6" s="116" t="n">
        <f aca="false">AVERAGE(B14:B15)</f>
        <v>0.098</v>
      </c>
      <c r="F6" s="116" t="n">
        <f aca="false">AVERAGE(C14:C15)</f>
        <v>0.0399</v>
      </c>
      <c r="G6" s="81" t="n">
        <f aca="false">H5+1</f>
        <v>30</v>
      </c>
      <c r="H6" s="81" t="n">
        <v>31</v>
      </c>
    </row>
    <row r="7" customFormat="false" ht="12.8" hidden="false" customHeight="false" outlineLevel="0" collapsed="false">
      <c r="A7" s="113" t="n">
        <v>23</v>
      </c>
      <c r="B7" s="114" t="n">
        <v>0.0728</v>
      </c>
      <c r="C7" s="114" t="n">
        <v>0.0294</v>
      </c>
      <c r="D7" s="114" t="str">
        <f aca="false">G7&amp;"-"&amp;H7</f>
        <v>32-33</v>
      </c>
      <c r="E7" s="116" t="n">
        <f aca="false">AVERAGE(B16:B17)</f>
        <v>0.1064</v>
      </c>
      <c r="F7" s="116" t="n">
        <f aca="false">AVERAGE(C16:C17)</f>
        <v>0.042</v>
      </c>
      <c r="G7" s="81" t="n">
        <f aca="false">H6+1</f>
        <v>32</v>
      </c>
      <c r="H7" s="81" t="n">
        <v>33</v>
      </c>
    </row>
    <row r="8" customFormat="false" ht="12.8" hidden="false" customHeight="false" outlineLevel="0" collapsed="false">
      <c r="A8" s="113" t="n">
        <v>24</v>
      </c>
      <c r="B8" s="114" t="n">
        <v>0.0742</v>
      </c>
      <c r="C8" s="114" t="n">
        <v>0.0294</v>
      </c>
      <c r="D8" s="114" t="str">
        <f aca="false">G8&amp;"-"&amp;H8</f>
        <v>34-35</v>
      </c>
      <c r="E8" s="116" t="n">
        <f aca="false">AVERAGE(B18:B19)</f>
        <v>0.1211</v>
      </c>
      <c r="F8" s="116" t="n">
        <f aca="false">AVERAGE(C18:C19)</f>
        <v>0.049</v>
      </c>
      <c r="G8" s="81" t="n">
        <f aca="false">H7+1</f>
        <v>34</v>
      </c>
      <c r="H8" s="81" t="n">
        <v>35</v>
      </c>
    </row>
    <row r="9" customFormat="false" ht="12.8" hidden="false" customHeight="false" outlineLevel="0" collapsed="false">
      <c r="A9" s="113" t="n">
        <v>25</v>
      </c>
      <c r="B9" s="114" t="n">
        <v>0.0756</v>
      </c>
      <c r="C9" s="114" t="n">
        <v>0.0308</v>
      </c>
      <c r="D9" s="114" t="str">
        <f aca="false">G9&amp;"-"&amp;H9</f>
        <v>36-37</v>
      </c>
      <c r="E9" s="116" t="n">
        <f aca="false">AVERAGE(B20:B21)</f>
        <v>0.1358</v>
      </c>
      <c r="F9" s="116" t="n">
        <f aca="false">AVERAGE(C20:C21)</f>
        <v>0.0553</v>
      </c>
      <c r="G9" s="81" t="n">
        <f aca="false">H8+1</f>
        <v>36</v>
      </c>
      <c r="H9" s="81" t="n">
        <v>37</v>
      </c>
    </row>
    <row r="10" customFormat="false" ht="12.8" hidden="false" customHeight="false" outlineLevel="0" collapsed="false">
      <c r="A10" s="113" t="n">
        <v>26</v>
      </c>
      <c r="B10" s="114" t="n">
        <v>0.077</v>
      </c>
      <c r="C10" s="114" t="n">
        <v>0.0308</v>
      </c>
      <c r="D10" s="114" t="str">
        <f aca="false">G10&amp;"-"&amp;H10</f>
        <v>38-39</v>
      </c>
      <c r="E10" s="116" t="n">
        <f aca="false">AVERAGE(B22:B23)</f>
        <v>0.1547</v>
      </c>
      <c r="F10" s="116" t="n">
        <f aca="false">AVERAGE(C22:C23)</f>
        <v>0.0637</v>
      </c>
      <c r="G10" s="81" t="n">
        <f aca="false">H9+1</f>
        <v>38</v>
      </c>
      <c r="H10" s="81" t="n">
        <v>39</v>
      </c>
    </row>
    <row r="11" customFormat="false" ht="12.8" hidden="false" customHeight="false" outlineLevel="0" collapsed="false">
      <c r="A11" s="113" t="n">
        <v>27</v>
      </c>
      <c r="B11" s="114" t="n">
        <v>0.0784</v>
      </c>
      <c r="C11" s="114" t="n">
        <v>0.0336</v>
      </c>
      <c r="D11" s="114" t="str">
        <f aca="false">G11&amp;"-"&amp;H11</f>
        <v>40-41</v>
      </c>
      <c r="E11" s="116" t="n">
        <f aca="false">AVERAGE(B24:B25)</f>
        <v>0.1778</v>
      </c>
      <c r="F11" s="116" t="n">
        <f aca="false">AVERAGE(C24:C25)</f>
        <v>0.0728</v>
      </c>
      <c r="G11" s="81" t="n">
        <f aca="false">H10+1</f>
        <v>40</v>
      </c>
      <c r="H11" s="81" t="n">
        <v>41</v>
      </c>
    </row>
    <row r="12" customFormat="false" ht="12.8" hidden="false" customHeight="false" outlineLevel="0" collapsed="false">
      <c r="A12" s="113" t="n">
        <v>28</v>
      </c>
      <c r="B12" s="114" t="n">
        <v>0.0826</v>
      </c>
      <c r="C12" s="114" t="n">
        <v>0.035</v>
      </c>
      <c r="D12" s="114" t="str">
        <f aca="false">G12&amp;"-"&amp;H12</f>
        <v>42-43</v>
      </c>
      <c r="E12" s="116" t="n">
        <f aca="false">AVERAGE(B26:B27)</f>
        <v>0.2009</v>
      </c>
      <c r="F12" s="116" t="n">
        <f aca="false">AVERAGE(C26:C27)</f>
        <v>0.0854</v>
      </c>
      <c r="G12" s="81" t="n">
        <f aca="false">H11+1</f>
        <v>42</v>
      </c>
      <c r="H12" s="81" t="n">
        <v>43</v>
      </c>
    </row>
    <row r="13" customFormat="false" ht="12.8" hidden="false" customHeight="false" outlineLevel="0" collapsed="false">
      <c r="A13" s="113" t="n">
        <v>29</v>
      </c>
      <c r="B13" s="114" t="n">
        <v>0.0882</v>
      </c>
      <c r="C13" s="114" t="n">
        <v>0.0378</v>
      </c>
      <c r="D13" s="114" t="str">
        <f aca="false">G13&amp;"-"&amp;H13</f>
        <v>44-46</v>
      </c>
      <c r="E13" s="116" t="n">
        <f aca="false">AVERAGE(B28:B30)</f>
        <v>0.238466666666667</v>
      </c>
      <c r="F13" s="116" t="n">
        <f aca="false">AVERAGE(C28:C30)</f>
        <v>0.108266666666667</v>
      </c>
      <c r="G13" s="81" t="n">
        <f aca="false">H12+1</f>
        <v>44</v>
      </c>
      <c r="H13" s="81" t="n">
        <v>46</v>
      </c>
    </row>
    <row r="14" customFormat="false" ht="12.8" hidden="false" customHeight="false" outlineLevel="0" collapsed="false">
      <c r="A14" s="113" t="n">
        <v>30</v>
      </c>
      <c r="B14" s="114" t="n">
        <v>0.0952</v>
      </c>
      <c r="C14" s="114" t="n">
        <v>0.0392</v>
      </c>
      <c r="D14" s="114" t="str">
        <f aca="false">G14&amp;"-"&amp;H14</f>
        <v>47-49</v>
      </c>
      <c r="E14" s="116" t="n">
        <f aca="false">AVERAGE(B31:B33)</f>
        <v>0.296333333333333</v>
      </c>
      <c r="F14" s="116" t="n">
        <f aca="false">AVERAGE(C31:C33)</f>
        <v>0.143266666666667</v>
      </c>
      <c r="G14" s="81" t="n">
        <f aca="false">H13+1</f>
        <v>47</v>
      </c>
      <c r="H14" s="81" t="n">
        <v>49</v>
      </c>
    </row>
    <row r="15" customFormat="false" ht="12.8" hidden="false" customHeight="false" outlineLevel="0" collapsed="false">
      <c r="A15" s="113" t="n">
        <v>31</v>
      </c>
      <c r="B15" s="114" t="n">
        <v>0.1008</v>
      </c>
      <c r="C15" s="114" t="n">
        <v>0.0406</v>
      </c>
      <c r="D15" s="114" t="str">
        <f aca="false">G15&amp;"-"&amp;H15</f>
        <v>50-52</v>
      </c>
      <c r="E15" s="116" t="n">
        <f aca="false">AVERAGE(B34:B36)</f>
        <v>0.3612</v>
      </c>
      <c r="F15" s="116" t="n">
        <f aca="false">AVERAGE(C34:C36)</f>
        <v>0.1708</v>
      </c>
      <c r="G15" s="81" t="n">
        <f aca="false">H14+1</f>
        <v>50</v>
      </c>
      <c r="H15" s="81" t="n">
        <v>52</v>
      </c>
    </row>
    <row r="16" customFormat="false" ht="12.8" hidden="false" customHeight="false" outlineLevel="0" collapsed="false">
      <c r="A16" s="113" t="n">
        <v>32</v>
      </c>
      <c r="B16" s="114" t="n">
        <v>0.1036</v>
      </c>
      <c r="C16" s="114" t="n">
        <v>0.0406</v>
      </c>
      <c r="D16" s="114" t="str">
        <f aca="false">G16&amp;"-"&amp;H16</f>
        <v>53-55</v>
      </c>
      <c r="E16" s="116" t="n">
        <f aca="false">AVERAGE(B37:B39)</f>
        <v>0.453133333333333</v>
      </c>
      <c r="F16" s="116" t="n">
        <f aca="false">AVERAGE(C37:C39)</f>
        <v>0.212333333333333</v>
      </c>
      <c r="G16" s="81" t="n">
        <f aca="false">H15+1</f>
        <v>53</v>
      </c>
      <c r="H16" s="81" t="n">
        <v>55</v>
      </c>
    </row>
    <row r="17" customFormat="false" ht="12.8" hidden="false" customHeight="false" outlineLevel="0" collapsed="false">
      <c r="A17" s="113" t="n">
        <v>33</v>
      </c>
      <c r="B17" s="114" t="n">
        <v>0.1092</v>
      </c>
      <c r="C17" s="114" t="n">
        <v>0.0434</v>
      </c>
      <c r="D17" s="114" t="str">
        <f aca="false">G17&amp;"-"&amp;H17</f>
        <v>56-58</v>
      </c>
      <c r="E17" s="116" t="n">
        <f aca="false">AVERAGE(B40:B42)</f>
        <v>0.549733333333333</v>
      </c>
      <c r="F17" s="116" t="n">
        <f aca="false">AVERAGE(C40:C42)</f>
        <v>0.2772</v>
      </c>
      <c r="G17" s="81" t="n">
        <v>56</v>
      </c>
      <c r="H17" s="81" t="n">
        <v>58</v>
      </c>
    </row>
    <row r="18" customFormat="false" ht="12.8" hidden="false" customHeight="false" outlineLevel="0" collapsed="false">
      <c r="A18" s="113" t="n">
        <v>34</v>
      </c>
      <c r="B18" s="114" t="n">
        <v>0.1176</v>
      </c>
      <c r="C18" s="114" t="n">
        <v>0.0476</v>
      </c>
      <c r="D18" s="114" t="str">
        <f aca="false">G18&amp;"-"&amp;H18</f>
        <v>59-63</v>
      </c>
      <c r="E18" s="116" t="n">
        <f aca="false">AVERAGE(B43:B47)</f>
        <v>0.70392</v>
      </c>
      <c r="F18" s="116" t="n">
        <f aca="false">AVERAGE(C43:C47)</f>
        <v>0.41748</v>
      </c>
      <c r="G18" s="81" t="n">
        <v>59</v>
      </c>
      <c r="H18" s="81" t="n">
        <v>63</v>
      </c>
    </row>
    <row r="19" customFormat="false" ht="12.8" hidden="false" customHeight="false" outlineLevel="0" collapsed="false">
      <c r="A19" s="113" t="n">
        <v>35</v>
      </c>
      <c r="B19" s="114" t="n">
        <v>0.1246</v>
      </c>
      <c r="C19" s="114" t="n">
        <v>0.0504</v>
      </c>
      <c r="D19" s="114" t="str">
        <f aca="false">G19&amp;"-"&amp;H19</f>
        <v>64-65</v>
      </c>
      <c r="E19" s="116" t="n">
        <f aca="false">AVERAGE(B48:B49)</f>
        <v>0.8666</v>
      </c>
      <c r="F19" s="116" t="n">
        <f aca="false">AVERAGE(C48:C49)</f>
        <v>0.5894</v>
      </c>
      <c r="G19" s="81" t="n">
        <v>64</v>
      </c>
      <c r="H19" s="81" t="n">
        <v>65</v>
      </c>
    </row>
    <row r="20" customFormat="false" ht="12.8" hidden="false" customHeight="false" outlineLevel="0" collapsed="false">
      <c r="A20" s="113" t="n">
        <v>36</v>
      </c>
      <c r="B20" s="114" t="n">
        <v>0.1316</v>
      </c>
      <c r="C20" s="114" t="n">
        <v>0.0532</v>
      </c>
      <c r="D20" s="114"/>
      <c r="E20" s="114"/>
      <c r="F20" s="114"/>
    </row>
    <row r="21" customFormat="false" ht="12.8" hidden="false" customHeight="false" outlineLevel="0" collapsed="false">
      <c r="A21" s="113" t="n">
        <v>37</v>
      </c>
      <c r="B21" s="114" t="n">
        <v>0.14</v>
      </c>
      <c r="C21" s="114" t="n">
        <v>0.0574</v>
      </c>
      <c r="D21" s="114"/>
      <c r="E21" s="114"/>
      <c r="F21" s="114"/>
    </row>
    <row r="22" customFormat="false" ht="12.8" hidden="false" customHeight="false" outlineLevel="0" collapsed="false">
      <c r="A22" s="113" t="n">
        <v>38</v>
      </c>
      <c r="B22" s="114" t="n">
        <v>0.1484</v>
      </c>
      <c r="C22" s="114" t="n">
        <v>0.0616</v>
      </c>
      <c r="D22" s="114"/>
      <c r="E22" s="114"/>
      <c r="F22" s="114"/>
    </row>
    <row r="23" customFormat="false" ht="12.8" hidden="false" customHeight="false" outlineLevel="0" collapsed="false">
      <c r="A23" s="113" t="n">
        <v>39</v>
      </c>
      <c r="B23" s="114" t="n">
        <v>0.161</v>
      </c>
      <c r="C23" s="114" t="n">
        <v>0.0658</v>
      </c>
      <c r="D23" s="114"/>
      <c r="E23" s="114"/>
      <c r="F23" s="114"/>
    </row>
    <row r="24" customFormat="false" ht="12.8" hidden="false" customHeight="false" outlineLevel="0" collapsed="false">
      <c r="A24" s="113" t="n">
        <v>40</v>
      </c>
      <c r="B24" s="114" t="n">
        <v>0.1722</v>
      </c>
      <c r="C24" s="114" t="n">
        <v>0.07</v>
      </c>
      <c r="D24" s="114"/>
      <c r="E24" s="114"/>
      <c r="F24" s="114"/>
    </row>
    <row r="25" customFormat="false" ht="12.8" hidden="false" customHeight="false" outlineLevel="0" collapsed="false">
      <c r="A25" s="113" t="n">
        <v>41</v>
      </c>
      <c r="B25" s="114" t="n">
        <v>0.1834</v>
      </c>
      <c r="C25" s="114" t="n">
        <v>0.0756</v>
      </c>
      <c r="D25" s="114"/>
      <c r="E25" s="114"/>
      <c r="F25" s="114"/>
    </row>
    <row r="26" customFormat="false" ht="12.8" hidden="false" customHeight="false" outlineLevel="0" collapsed="false">
      <c r="A26" s="113" t="n">
        <v>42</v>
      </c>
      <c r="B26" s="114" t="n">
        <v>0.1946</v>
      </c>
      <c r="C26" s="114" t="n">
        <v>0.0812</v>
      </c>
      <c r="D26" s="114"/>
      <c r="E26" s="114"/>
      <c r="F26" s="114"/>
    </row>
    <row r="27" customFormat="false" ht="12.8" hidden="false" customHeight="false" outlineLevel="0" collapsed="false">
      <c r="A27" s="113" t="n">
        <v>43</v>
      </c>
      <c r="B27" s="114" t="n">
        <v>0.2072</v>
      </c>
      <c r="C27" s="114" t="n">
        <v>0.0896</v>
      </c>
      <c r="D27" s="114"/>
      <c r="E27" s="114"/>
      <c r="F27" s="114"/>
    </row>
    <row r="28" customFormat="false" ht="12.8" hidden="false" customHeight="false" outlineLevel="0" collapsed="false">
      <c r="A28" s="113" t="n">
        <v>44</v>
      </c>
      <c r="B28" s="114" t="n">
        <v>0.2226</v>
      </c>
      <c r="C28" s="114" t="n">
        <v>0.098</v>
      </c>
      <c r="D28" s="114"/>
      <c r="E28" s="114"/>
      <c r="F28" s="114"/>
    </row>
    <row r="29" customFormat="false" ht="12.8" hidden="false" customHeight="false" outlineLevel="0" collapsed="false">
      <c r="A29" s="113" t="n">
        <v>45</v>
      </c>
      <c r="B29" s="114" t="n">
        <v>0.238</v>
      </c>
      <c r="C29" s="114" t="n">
        <v>0.1078</v>
      </c>
      <c r="D29" s="114"/>
      <c r="E29" s="114"/>
      <c r="F29" s="114"/>
    </row>
    <row r="30" customFormat="false" ht="12.8" hidden="false" customHeight="false" outlineLevel="0" collapsed="false">
      <c r="A30" s="113" t="n">
        <v>46</v>
      </c>
      <c r="B30" s="114" t="n">
        <v>0.2548</v>
      </c>
      <c r="C30" s="114" t="n">
        <v>0.119</v>
      </c>
      <c r="D30" s="114"/>
      <c r="E30" s="114"/>
      <c r="F30" s="114"/>
    </row>
    <row r="31" customFormat="false" ht="12.8" hidden="false" customHeight="false" outlineLevel="0" collapsed="false">
      <c r="A31" s="113" t="n">
        <v>47</v>
      </c>
      <c r="B31" s="114" t="n">
        <v>0.2758</v>
      </c>
      <c r="C31" s="114" t="n">
        <v>0.1316</v>
      </c>
      <c r="D31" s="114"/>
      <c r="E31" s="114"/>
      <c r="F31" s="114"/>
    </row>
    <row r="32" customFormat="false" ht="12.8" hidden="false" customHeight="false" outlineLevel="0" collapsed="false">
      <c r="A32" s="113" t="n">
        <v>48</v>
      </c>
      <c r="B32" s="114" t="n">
        <v>0.2982</v>
      </c>
      <c r="C32" s="114" t="n">
        <v>0.1442</v>
      </c>
      <c r="D32" s="114"/>
      <c r="E32" s="114"/>
      <c r="F32" s="114"/>
    </row>
    <row r="33" customFormat="false" ht="12.8" hidden="false" customHeight="false" outlineLevel="0" collapsed="false">
      <c r="A33" s="113" t="n">
        <v>49</v>
      </c>
      <c r="B33" s="114" t="n">
        <v>0.315</v>
      </c>
      <c r="C33" s="114" t="n">
        <v>0.154</v>
      </c>
      <c r="D33" s="114"/>
      <c r="E33" s="114"/>
      <c r="F33" s="114"/>
    </row>
    <row r="34" customFormat="false" ht="12.8" hidden="false" customHeight="false" outlineLevel="0" collapsed="false">
      <c r="A34" s="113" t="n">
        <v>50</v>
      </c>
      <c r="B34" s="114" t="n">
        <v>0.3346</v>
      </c>
      <c r="C34" s="114" t="n">
        <v>0.161</v>
      </c>
      <c r="D34" s="114"/>
      <c r="E34" s="114"/>
      <c r="F34" s="114"/>
    </row>
    <row r="35" customFormat="false" ht="12.8" hidden="false" customHeight="false" outlineLevel="0" collapsed="false">
      <c r="A35" s="113" t="n">
        <v>51</v>
      </c>
      <c r="B35" s="114" t="n">
        <v>0.3598</v>
      </c>
      <c r="C35" s="114" t="n">
        <v>0.1694</v>
      </c>
      <c r="D35" s="114"/>
      <c r="E35" s="114"/>
      <c r="F35" s="114"/>
    </row>
    <row r="36" customFormat="false" ht="12.8" hidden="false" customHeight="false" outlineLevel="0" collapsed="false">
      <c r="A36" s="113" t="n">
        <v>52</v>
      </c>
      <c r="B36" s="114" t="n">
        <v>0.3892</v>
      </c>
      <c r="C36" s="114" t="n">
        <v>0.182</v>
      </c>
      <c r="D36" s="114"/>
      <c r="E36" s="114"/>
      <c r="F36" s="114"/>
    </row>
    <row r="37" customFormat="false" ht="12.8" hidden="false" customHeight="false" outlineLevel="0" collapsed="false">
      <c r="A37" s="113" t="n">
        <v>53</v>
      </c>
      <c r="B37" s="114" t="n">
        <v>0.4214</v>
      </c>
      <c r="C37" s="114" t="n">
        <v>0.1974</v>
      </c>
      <c r="D37" s="114"/>
      <c r="E37" s="114"/>
      <c r="F37" s="114"/>
    </row>
    <row r="38" customFormat="false" ht="12.8" hidden="false" customHeight="false" outlineLevel="0" collapsed="false">
      <c r="A38" s="113" t="n">
        <v>54</v>
      </c>
      <c r="B38" s="114" t="n">
        <v>0.4536</v>
      </c>
      <c r="C38" s="114" t="n">
        <v>0.2114</v>
      </c>
      <c r="D38" s="114"/>
      <c r="E38" s="114"/>
      <c r="F38" s="114"/>
    </row>
    <row r="39" customFormat="false" ht="12.8" hidden="false" customHeight="false" outlineLevel="0" collapsed="false">
      <c r="A39" s="113" t="n">
        <v>55</v>
      </c>
      <c r="B39" s="114" t="n">
        <v>0.4844</v>
      </c>
      <c r="C39" s="114" t="n">
        <v>0.2282</v>
      </c>
      <c r="D39" s="114"/>
      <c r="E39" s="114"/>
      <c r="F39" s="114"/>
    </row>
    <row r="40" customFormat="false" ht="12.8" hidden="false" customHeight="false" outlineLevel="0" collapsed="false">
      <c r="A40" s="113" t="n">
        <v>56</v>
      </c>
      <c r="B40" s="114" t="n">
        <v>0.5166</v>
      </c>
      <c r="C40" s="114" t="n">
        <v>0.2506</v>
      </c>
      <c r="D40" s="114"/>
      <c r="E40" s="114"/>
      <c r="F40" s="114"/>
    </row>
    <row r="41" customFormat="false" ht="12.8" hidden="false" customHeight="false" outlineLevel="0" collapsed="false">
      <c r="A41" s="113" t="n">
        <v>57</v>
      </c>
      <c r="B41" s="114" t="n">
        <v>0.5488</v>
      </c>
      <c r="C41" s="114" t="n">
        <v>0.2758</v>
      </c>
      <c r="D41" s="114"/>
      <c r="E41" s="114"/>
      <c r="F41" s="114"/>
    </row>
    <row r="42" customFormat="false" ht="12.8" hidden="false" customHeight="false" outlineLevel="0" collapsed="false">
      <c r="A42" s="113" t="n">
        <v>58</v>
      </c>
      <c r="B42" s="114" t="n">
        <v>0.5838</v>
      </c>
      <c r="C42" s="114" t="n">
        <v>0.3052</v>
      </c>
      <c r="D42" s="114"/>
      <c r="E42" s="114"/>
      <c r="F42" s="114"/>
    </row>
    <row r="43" customFormat="false" ht="12.8" hidden="false" customHeight="false" outlineLevel="0" collapsed="false">
      <c r="A43" s="113" t="n">
        <v>59</v>
      </c>
      <c r="B43" s="114" t="n">
        <v>0.6216</v>
      </c>
      <c r="C43" s="114" t="n">
        <v>0.3374</v>
      </c>
      <c r="D43" s="114"/>
      <c r="E43" s="114"/>
      <c r="F43" s="114"/>
    </row>
    <row r="44" customFormat="false" ht="12.8" hidden="false" customHeight="false" outlineLevel="0" collapsed="false">
      <c r="A44" s="113" t="n">
        <v>60</v>
      </c>
      <c r="B44" s="114" t="n">
        <v>0.6608</v>
      </c>
      <c r="C44" s="114" t="n">
        <v>0.3738</v>
      </c>
      <c r="D44" s="114"/>
      <c r="E44" s="114"/>
      <c r="F44" s="114"/>
    </row>
    <row r="45" customFormat="false" ht="12.8" hidden="false" customHeight="false" outlineLevel="0" collapsed="false">
      <c r="A45" s="113" t="n">
        <v>61</v>
      </c>
      <c r="B45" s="114" t="n">
        <v>0.7014</v>
      </c>
      <c r="C45" s="114" t="n">
        <v>0.413</v>
      </c>
      <c r="D45" s="114"/>
      <c r="E45" s="114"/>
      <c r="F45" s="114"/>
    </row>
    <row r="46" customFormat="false" ht="12.8" hidden="false" customHeight="false" outlineLevel="0" collapsed="false">
      <c r="A46" s="113" t="n">
        <v>62</v>
      </c>
      <c r="B46" s="114" t="n">
        <v>0.7448</v>
      </c>
      <c r="C46" s="114" t="n">
        <v>0.4578</v>
      </c>
      <c r="D46" s="114"/>
      <c r="E46" s="114"/>
      <c r="F46" s="114"/>
    </row>
    <row r="47" customFormat="false" ht="12.8" hidden="false" customHeight="false" outlineLevel="0" collapsed="false">
      <c r="A47" s="113" t="n">
        <v>63</v>
      </c>
      <c r="B47" s="114" t="n">
        <v>0.791</v>
      </c>
      <c r="C47" s="114" t="n">
        <v>0.5054</v>
      </c>
      <c r="D47" s="114"/>
      <c r="E47" s="114"/>
      <c r="F47" s="114"/>
    </row>
    <row r="48" customFormat="false" ht="12.8" hidden="false" customHeight="false" outlineLevel="0" collapsed="false">
      <c r="A48" s="113" t="n">
        <v>64</v>
      </c>
      <c r="B48" s="114" t="n">
        <v>0.84</v>
      </c>
      <c r="C48" s="114" t="n">
        <v>0.56</v>
      </c>
      <c r="D48" s="114"/>
      <c r="E48" s="114"/>
      <c r="F48" s="114"/>
    </row>
    <row r="49" customFormat="false" ht="12.8" hidden="false" customHeight="false" outlineLevel="0" collapsed="false">
      <c r="A49" s="113" t="n">
        <v>65</v>
      </c>
      <c r="B49" s="114" t="n">
        <v>0.8932</v>
      </c>
      <c r="C49" s="114" t="n">
        <v>0.6188</v>
      </c>
      <c r="D49" s="114"/>
      <c r="E49" s="114"/>
      <c r="F49" s="11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9" activeCellId="0" sqref="C9"/>
    </sheetView>
  </sheetViews>
  <sheetFormatPr defaultColWidth="11.53515625" defaultRowHeight="12.8" zeroHeight="false" outlineLevelRow="0" outlineLevelCol="0"/>
  <cols>
    <col collapsed="false" customWidth="true" hidden="false" outlineLevel="0" max="1" min="1" style="1" width="131.92"/>
    <col collapsed="false" customWidth="true" hidden="false" outlineLevel="0" max="3" min="3" style="1" width="40.76"/>
    <col collapsed="false" customWidth="true" hidden="false" outlineLevel="0" max="4" min="4" style="1" width="37.56"/>
  </cols>
  <sheetData>
    <row r="2" customFormat="false" ht="26.85" hidden="false" customHeight="false" outlineLevel="0" collapsed="false">
      <c r="C2" s="117" t="s">
        <v>351</v>
      </c>
      <c r="D2" s="117" t="s">
        <v>290</v>
      </c>
    </row>
    <row r="3" customFormat="false" ht="15" hidden="false" customHeight="false" outlineLevel="0" collapsed="false">
      <c r="C3" s="117" t="s">
        <v>352</v>
      </c>
      <c r="D3" s="117" t="s">
        <v>353</v>
      </c>
    </row>
    <row r="4" customFormat="false" ht="15" hidden="false" customHeight="false" outlineLevel="0" collapsed="false">
      <c r="A4" s="117" t="s">
        <v>354</v>
      </c>
      <c r="C4" s="117" t="s">
        <v>355</v>
      </c>
      <c r="D4" s="117" t="s">
        <v>356</v>
      </c>
    </row>
    <row r="5" customFormat="false" ht="15" hidden="false" customHeight="false" outlineLevel="0" collapsed="false">
      <c r="A5" s="117" t="s">
        <v>357</v>
      </c>
      <c r="C5" s="117" t="s">
        <v>358</v>
      </c>
      <c r="D5" s="117" t="s">
        <v>359</v>
      </c>
    </row>
    <row r="6" customFormat="false" ht="15" hidden="false" customHeight="false" outlineLevel="0" collapsed="false">
      <c r="A6" s="117" t="s">
        <v>360</v>
      </c>
      <c r="C6" s="117" t="s">
        <v>361</v>
      </c>
      <c r="D6" s="117" t="s">
        <v>362</v>
      </c>
    </row>
    <row r="7" customFormat="false" ht="15" hidden="false" customHeight="false" outlineLevel="0" collapsed="false">
      <c r="A7" s="117" t="s">
        <v>363</v>
      </c>
      <c r="C7" s="117" t="s">
        <v>364</v>
      </c>
      <c r="D7" s="117" t="s">
        <v>365</v>
      </c>
    </row>
    <row r="8" customFormat="false" ht="15" hidden="false" customHeight="false" outlineLevel="0" collapsed="false">
      <c r="A8" s="117" t="s">
        <v>366</v>
      </c>
      <c r="C8" s="117"/>
      <c r="D8" s="117"/>
    </row>
    <row r="9" customFormat="false" ht="15" hidden="false" customHeight="false" outlineLevel="0" collapsed="false">
      <c r="A9" s="117" t="s">
        <v>367</v>
      </c>
    </row>
    <row r="10" customFormat="false" ht="15" hidden="false" customHeight="false" outlineLevel="0" collapsed="false">
      <c r="A10" s="117" t="s">
        <v>368</v>
      </c>
    </row>
    <row r="11" customFormat="false" ht="15" hidden="false" customHeight="false" outlineLevel="0" collapsed="false">
      <c r="A11" s="117" t="s">
        <v>369</v>
      </c>
    </row>
    <row r="12" customFormat="false" ht="15" hidden="false" customHeight="false" outlineLevel="0" collapsed="false">
      <c r="A12" s="117" t="s">
        <v>370</v>
      </c>
    </row>
    <row r="13" customFormat="false" ht="15" hidden="false" customHeight="false" outlineLevel="0" collapsed="false">
      <c r="A13" s="117" t="s">
        <v>371</v>
      </c>
    </row>
    <row r="14" customFormat="false" ht="15" hidden="false" customHeight="false" outlineLevel="0" collapsed="false">
      <c r="A14" s="118" t="s">
        <v>372</v>
      </c>
    </row>
    <row r="15" customFormat="false" ht="26.85" hidden="false" customHeight="false" outlineLevel="0" collapsed="false">
      <c r="A15" s="117" t="s">
        <v>373</v>
      </c>
    </row>
    <row r="17" customFormat="false" ht="12.8" hidden="false" customHeight="false" outlineLevel="0" collapsed="false">
      <c r="A17" s="1" t="s">
        <v>374</v>
      </c>
    </row>
    <row r="19" customFormat="false" ht="12.8" hidden="false" customHeight="false" outlineLevel="0" collapsed="false">
      <c r="A19" s="1" t="s">
        <v>375</v>
      </c>
    </row>
    <row r="21" customFormat="false" ht="12.8" hidden="false" customHeight="false" outlineLevel="0" collapsed="false">
      <c r="A21" s="119" t="s">
        <v>376</v>
      </c>
    </row>
    <row r="22" customFormat="false" ht="12.8" hidden="false" customHeight="false" outlineLevel="0" collapsed="false">
      <c r="A22" s="1" t="s">
        <v>377</v>
      </c>
    </row>
    <row r="23" customFormat="false" ht="12.8" hidden="false" customHeight="false" outlineLevel="0" collapsed="false">
      <c r="A23" s="1" t="s">
        <v>378</v>
      </c>
    </row>
    <row r="24" customFormat="false" ht="102.2" hidden="false" customHeight="false" outlineLevel="0" collapsed="false">
      <c r="A24" s="79" t="s">
        <v>379</v>
      </c>
    </row>
    <row r="25" customFormat="false" ht="12.8" hidden="false" customHeight="false" outlineLevel="0" collapsed="false">
      <c r="A25" s="1" t="s">
        <v>96</v>
      </c>
    </row>
    <row r="26" customFormat="false" ht="35.05" hidden="false" customHeight="false" outlineLevel="0" collapsed="false">
      <c r="A26" s="79" t="s">
        <v>380</v>
      </c>
    </row>
    <row r="27" customFormat="false" ht="35.05" hidden="false" customHeight="false" outlineLevel="0" collapsed="false">
      <c r="A27" s="79" t="s">
        <v>381</v>
      </c>
    </row>
    <row r="29" customFormat="false" ht="46.25" hidden="false" customHeight="false" outlineLevel="0" collapsed="false">
      <c r="A29" s="79" t="s">
        <v>382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E3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H18" activeCellId="0" sqref="H18"/>
    </sheetView>
  </sheetViews>
  <sheetFormatPr defaultColWidth="11.53515625" defaultRowHeight="12.8" zeroHeight="false" outlineLevelRow="0" outlineLevelCol="0"/>
  <sheetData>
    <row r="4" customFormat="false" ht="12.8" hidden="false" customHeight="false" outlineLevel="0" collapsed="false">
      <c r="D4" s="24" t="n">
        <v>50</v>
      </c>
    </row>
    <row r="5" customFormat="false" ht="12.8" hidden="false" customHeight="false" outlineLevel="0" collapsed="false">
      <c r="A5" s="66" t="n">
        <v>45988</v>
      </c>
      <c r="B5" s="66" t="n">
        <v>46352</v>
      </c>
      <c r="D5" s="1" t="n">
        <f aca="false">D4+E5</f>
        <v>51</v>
      </c>
      <c r="E5" s="1" t="n">
        <v>1</v>
      </c>
    </row>
    <row r="6" customFormat="false" ht="12.8" hidden="false" customHeight="false" outlineLevel="0" collapsed="false">
      <c r="A6" s="66" t="n">
        <v>46353</v>
      </c>
      <c r="B6" s="66" t="n">
        <v>46717</v>
      </c>
      <c r="C6" s="1" t="n">
        <v>1</v>
      </c>
      <c r="D6" s="1" t="n">
        <f aca="false">D5+E6</f>
        <v>52</v>
      </c>
      <c r="E6" s="1" t="n">
        <v>1</v>
      </c>
    </row>
    <row r="7" customFormat="false" ht="12.8" hidden="false" customHeight="false" outlineLevel="0" collapsed="false">
      <c r="A7" s="66" t="n">
        <v>46718</v>
      </c>
      <c r="B7" s="66" t="n">
        <v>47083</v>
      </c>
      <c r="C7" s="1" t="n">
        <v>2</v>
      </c>
      <c r="D7" s="1" t="n">
        <f aca="false">D6+E7</f>
        <v>53</v>
      </c>
      <c r="E7" s="1" t="n">
        <v>1</v>
      </c>
    </row>
    <row r="8" customFormat="false" ht="12.8" hidden="false" customHeight="false" outlineLevel="0" collapsed="false">
      <c r="A8" s="66" t="n">
        <v>47084</v>
      </c>
      <c r="B8" s="66" t="n">
        <v>47448</v>
      </c>
      <c r="C8" s="1" t="n">
        <v>3</v>
      </c>
      <c r="D8" s="1" t="n">
        <f aca="false">D7+E8</f>
        <v>54</v>
      </c>
      <c r="E8" s="1" t="n">
        <v>1</v>
      </c>
    </row>
    <row r="9" customFormat="false" ht="12.8" hidden="false" customHeight="false" outlineLevel="0" collapsed="false">
      <c r="A9" s="66" t="n">
        <v>47449</v>
      </c>
      <c r="B9" s="66" t="n">
        <v>47813</v>
      </c>
      <c r="C9" s="1" t="n">
        <v>4</v>
      </c>
      <c r="D9" s="1" t="n">
        <f aca="false">D8+E9</f>
        <v>55</v>
      </c>
      <c r="E9" s="1" t="n">
        <v>1</v>
      </c>
    </row>
    <row r="10" customFormat="false" ht="12.8" hidden="false" customHeight="false" outlineLevel="0" collapsed="false">
      <c r="A10" s="66" t="n">
        <v>47814</v>
      </c>
      <c r="B10" s="66" t="n">
        <v>48178</v>
      </c>
      <c r="C10" s="1" t="n">
        <v>5</v>
      </c>
      <c r="D10" s="1" t="n">
        <f aca="false">D9+E10</f>
        <v>56</v>
      </c>
      <c r="E10" s="1" t="n">
        <v>1</v>
      </c>
    </row>
    <row r="11" customFormat="false" ht="12.8" hidden="false" customHeight="false" outlineLevel="0" collapsed="false">
      <c r="A11" s="66" t="n">
        <v>48179</v>
      </c>
      <c r="B11" s="66" t="n">
        <v>48544</v>
      </c>
      <c r="C11" s="1" t="n">
        <v>6</v>
      </c>
      <c r="D11" s="1" t="n">
        <f aca="false">D10+E11</f>
        <v>57</v>
      </c>
      <c r="E11" s="1" t="n">
        <v>1</v>
      </c>
    </row>
    <row r="12" customFormat="false" ht="12.8" hidden="false" customHeight="false" outlineLevel="0" collapsed="false">
      <c r="A12" s="66" t="n">
        <v>48545</v>
      </c>
      <c r="B12" s="66" t="n">
        <v>48909</v>
      </c>
      <c r="C12" s="1" t="n">
        <v>7</v>
      </c>
      <c r="D12" s="1" t="n">
        <f aca="false">D11+E12</f>
        <v>58</v>
      </c>
      <c r="E12" s="1" t="n">
        <v>1</v>
      </c>
    </row>
    <row r="13" customFormat="false" ht="12.8" hidden="false" customHeight="false" outlineLevel="0" collapsed="false">
      <c r="A13" s="66" t="n">
        <v>48910</v>
      </c>
      <c r="B13" s="66" t="n">
        <v>49274</v>
      </c>
      <c r="C13" s="1" t="n">
        <v>8</v>
      </c>
      <c r="D13" s="1" t="n">
        <f aca="false">D12+E13</f>
        <v>59</v>
      </c>
      <c r="E13" s="1" t="n">
        <v>1</v>
      </c>
    </row>
    <row r="14" customFormat="false" ht="12.8" hidden="false" customHeight="false" outlineLevel="0" collapsed="false">
      <c r="A14" s="66" t="n">
        <v>49275</v>
      </c>
      <c r="B14" s="66" t="n">
        <v>49639</v>
      </c>
      <c r="C14" s="1" t="n">
        <v>9</v>
      </c>
      <c r="D14" s="1" t="n">
        <f aca="false">D13+E14</f>
        <v>60</v>
      </c>
      <c r="E14" s="1" t="n">
        <v>1</v>
      </c>
    </row>
    <row r="15" customFormat="false" ht="12.8" hidden="false" customHeight="false" outlineLevel="0" collapsed="false">
      <c r="A15" s="66" t="n">
        <v>49640</v>
      </c>
      <c r="B15" s="66" t="n">
        <v>50005</v>
      </c>
      <c r="C15" s="1" t="n">
        <v>10</v>
      </c>
      <c r="D15" s="1" t="n">
        <f aca="false">D14+E15</f>
        <v>61</v>
      </c>
      <c r="E15" s="1" t="n">
        <v>1</v>
      </c>
    </row>
    <row r="16" customFormat="false" ht="12.8" hidden="false" customHeight="false" outlineLevel="0" collapsed="false">
      <c r="A16" s="66" t="n">
        <v>50006</v>
      </c>
      <c r="B16" s="66" t="n">
        <v>50370</v>
      </c>
      <c r="C16" s="1" t="n">
        <v>11</v>
      </c>
      <c r="D16" s="1" t="n">
        <f aca="false">D15+E16</f>
        <v>62</v>
      </c>
      <c r="E16" s="1" t="n">
        <v>1</v>
      </c>
    </row>
    <row r="17" customFormat="false" ht="12.8" hidden="false" customHeight="false" outlineLevel="0" collapsed="false">
      <c r="A17" s="66" t="n">
        <v>50371</v>
      </c>
      <c r="B17" s="66" t="n">
        <v>50735</v>
      </c>
      <c r="C17" s="1" t="n">
        <v>12</v>
      </c>
      <c r="D17" s="1" t="n">
        <f aca="false">D16+E17</f>
        <v>63</v>
      </c>
      <c r="E17" s="1" t="n">
        <v>1</v>
      </c>
    </row>
    <row r="18" customFormat="false" ht="12.8" hidden="false" customHeight="false" outlineLevel="0" collapsed="false">
      <c r="A18" s="66" t="n">
        <v>50736</v>
      </c>
      <c r="B18" s="66" t="n">
        <v>51100</v>
      </c>
      <c r="C18" s="1" t="n">
        <v>13</v>
      </c>
      <c r="D18" s="1" t="n">
        <f aca="false">D17+E18</f>
        <v>64</v>
      </c>
      <c r="E18" s="1" t="n">
        <v>1</v>
      </c>
    </row>
    <row r="19" customFormat="false" ht="12.8" hidden="false" customHeight="false" outlineLevel="0" collapsed="false">
      <c r="A19" s="66" t="n">
        <v>51101</v>
      </c>
      <c r="B19" s="66" t="n">
        <v>51466</v>
      </c>
      <c r="C19" s="1" t="n">
        <v>14</v>
      </c>
      <c r="D19" s="1" t="n">
        <f aca="false">D18+E19</f>
        <v>65</v>
      </c>
      <c r="E19" s="1" t="n">
        <v>1</v>
      </c>
    </row>
    <row r="20" customFormat="false" ht="12.8" hidden="false" customHeight="false" outlineLevel="0" collapsed="false">
      <c r="A20" s="66" t="n">
        <v>51467</v>
      </c>
      <c r="B20" s="66" t="n">
        <v>51831</v>
      </c>
      <c r="C20" s="1" t="n">
        <v>15</v>
      </c>
      <c r="D20" s="1" t="n">
        <f aca="false">D19+E20</f>
        <v>66</v>
      </c>
      <c r="E20" s="1" t="n">
        <v>1</v>
      </c>
    </row>
    <row r="21" customFormat="false" ht="12.8" hidden="false" customHeight="false" outlineLevel="0" collapsed="false">
      <c r="A21" s="66" t="n">
        <v>51832</v>
      </c>
      <c r="B21" s="66" t="n">
        <v>15368</v>
      </c>
      <c r="C21" s="1" t="n">
        <v>16</v>
      </c>
      <c r="D21" s="1" t="n">
        <f aca="false">D20+E21</f>
        <v>67</v>
      </c>
      <c r="E21" s="1" t="n">
        <v>1</v>
      </c>
    </row>
    <row r="22" customFormat="false" ht="12.8" hidden="false" customHeight="false" outlineLevel="0" collapsed="false">
      <c r="A22" s="66"/>
      <c r="B22" s="66"/>
    </row>
    <row r="23" customFormat="false" ht="12.8" hidden="false" customHeight="false" outlineLevel="0" collapsed="false">
      <c r="A23" s="66"/>
      <c r="B23" s="66"/>
    </row>
    <row r="24" customFormat="false" ht="12.8" hidden="false" customHeight="false" outlineLevel="0" collapsed="false">
      <c r="A24" s="66"/>
      <c r="B24" s="66"/>
    </row>
    <row r="25" customFormat="false" ht="12.8" hidden="false" customHeight="false" outlineLevel="0" collapsed="false">
      <c r="A25" s="66"/>
      <c r="B25" s="66"/>
    </row>
    <row r="26" customFormat="false" ht="12.8" hidden="false" customHeight="false" outlineLevel="0" collapsed="false">
      <c r="A26" s="66"/>
      <c r="B26" s="66"/>
    </row>
    <row r="27" customFormat="false" ht="12.8" hidden="false" customHeight="false" outlineLevel="0" collapsed="false">
      <c r="A27" s="66"/>
      <c r="B27" s="66"/>
    </row>
    <row r="28" customFormat="false" ht="12.8" hidden="false" customHeight="false" outlineLevel="0" collapsed="false">
      <c r="A28" s="66"/>
      <c r="B28" s="66"/>
    </row>
    <row r="29" customFormat="false" ht="12.8" hidden="false" customHeight="false" outlineLevel="0" collapsed="false">
      <c r="A29" s="66"/>
      <c r="B29" s="66"/>
    </row>
    <row r="30" customFormat="false" ht="12.8" hidden="false" customHeight="false" outlineLevel="0" collapsed="false">
      <c r="A30" s="66"/>
      <c r="B30" s="66"/>
    </row>
    <row r="31" customFormat="false" ht="12.8" hidden="false" customHeight="false" outlineLevel="0" collapsed="false">
      <c r="A31" s="66"/>
      <c r="B31" s="66"/>
    </row>
    <row r="32" customFormat="false" ht="12.8" hidden="false" customHeight="false" outlineLevel="0" collapsed="false">
      <c r="A32" s="66"/>
      <c r="B32" s="66"/>
    </row>
    <row r="33" customFormat="false" ht="12.8" hidden="false" customHeight="false" outlineLevel="0" collapsed="false">
      <c r="A33" s="66"/>
      <c r="B33" s="66"/>
    </row>
    <row r="34" customFormat="false" ht="12.8" hidden="false" customHeight="false" outlineLevel="0" collapsed="false">
      <c r="A34" s="66"/>
      <c r="B34" s="66"/>
    </row>
    <row r="35" customFormat="false" ht="12.8" hidden="false" customHeight="false" outlineLevel="0" collapsed="false">
      <c r="A35" s="66"/>
      <c r="B35" s="6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2192</TotalTime>
  <Application>LibreOffice/7.5.1.2$Windows_X86_64 LibreOffice_project/fcbaee479e84c6cd81291587d2ee68cba099e129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2025-02-11T16:34:50Z</dcterms:created>
  <dc:creator>Ян Шмонов</dc:creator>
  <dc:description/>
  <dc:language>ru-RU</dc:language>
  <cp:lastModifiedBy/>
  <dcterms:modified xsi:type="dcterms:W3CDTF">2026-07-18T01:37:50Z</dcterms:modified>
  <cp:revision>243</cp:revision>
  <dc:subject/>
  <dc:title/>
</cp:coreProperties>
</file>

<file path=docProps/custom.xml><?xml version="1.0" encoding="utf-8"?>
<Properties xmlns="http://schemas.openxmlformats.org/officeDocument/2006/custom-properties" xmlns:vt="http://schemas.openxmlformats.org/officeDocument/2006/docPropsVTypes"/>
</file>